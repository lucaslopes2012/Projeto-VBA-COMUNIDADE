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EstaPasta_de_trabalho" defaultThemeVersion="124226"/>
  <bookViews>
    <workbookView showHorizontalScroll="0" showVerticalScroll="0" xWindow="120" yWindow="105" windowWidth="18975" windowHeight="11700" tabRatio="952"/>
  </bookViews>
  <sheets>
    <sheet name="Menu" sheetId="12" r:id="rId1"/>
    <sheet name="Produtos" sheetId="1" r:id="rId2"/>
    <sheet name="Compras" sheetId="59" r:id="rId3"/>
    <sheet name="Forma de Pag." sheetId="13" r:id="rId4"/>
    <sheet name="Fornecedores" sheetId="14" r:id="rId5"/>
    <sheet name="Embeu" sheetId="45" r:id="rId6"/>
    <sheet name="Coca Cola" sheetId="46" r:id="rId7"/>
    <sheet name="Nova Skin" sheetId="47" r:id="rId8"/>
    <sheet name="Novo1" sheetId="48" r:id="rId9"/>
    <sheet name="Novo2" sheetId="49" r:id="rId10"/>
    <sheet name="Novo3" sheetId="50" r:id="rId11"/>
    <sheet name="Novo4" sheetId="51" r:id="rId12"/>
    <sheet name="Novo5" sheetId="52" r:id="rId13"/>
    <sheet name="Novo6" sheetId="53" r:id="rId14"/>
    <sheet name="Novo7" sheetId="55" r:id="rId15"/>
    <sheet name="Novo8" sheetId="56" r:id="rId16"/>
    <sheet name="Novo9" sheetId="57" r:id="rId17"/>
    <sheet name="Novo10" sheetId="58" r:id="rId18"/>
    <sheet name="Ajuda" sheetId="60" r:id="rId19"/>
  </sheets>
  <definedNames>
    <definedName name="_xlnm._FilterDatabase" localSheetId="6" hidden="1">'Coca Cola'!$C$17:$H$17</definedName>
    <definedName name="_xlnm._FilterDatabase" localSheetId="2" hidden="1">Compras!$B$4:$E$4</definedName>
    <definedName name="_xlnm._FilterDatabase" localSheetId="5" hidden="1">Embeu!$C$17:$H$17</definedName>
    <definedName name="_xlnm._FilterDatabase" localSheetId="7" hidden="1">'Nova Skin'!$C$17:$H$17</definedName>
    <definedName name="_xlnm._FilterDatabase" localSheetId="8" hidden="1">Novo1!$C$17:$H$17</definedName>
    <definedName name="_xlnm._FilterDatabase" localSheetId="17" hidden="1">Novo10!$C$17:$H$17</definedName>
    <definedName name="_xlnm._FilterDatabase" localSheetId="9" hidden="1">Novo2!$C$17:$H$17</definedName>
    <definedName name="_xlnm._FilterDatabase" localSheetId="10" hidden="1">Novo3!$C$17:$H$17</definedName>
    <definedName name="_xlnm._FilterDatabase" localSheetId="11" hidden="1">Novo4!$C$17:$H$17</definedName>
    <definedName name="_xlnm._FilterDatabase" localSheetId="12" hidden="1">Novo5!$C$17:$I$17</definedName>
    <definedName name="_xlnm._FilterDatabase" localSheetId="13" hidden="1">Novo6!$C$17:$H$17</definedName>
    <definedName name="_xlnm._FilterDatabase" localSheetId="14" hidden="1">Novo7!$C$17:$H$17</definedName>
    <definedName name="_xlnm._FilterDatabase" localSheetId="15" hidden="1">Novo8!$C$17:$H$17</definedName>
    <definedName name="_xlnm._FilterDatabase" localSheetId="16" hidden="1">Novo9!$C$17:$H$17</definedName>
    <definedName name="_xlnm._FilterDatabase" localSheetId="1" hidden="1">Produtos!$B$9:$E$9</definedName>
  </definedNames>
  <calcPr calcId="144525"/>
</workbook>
</file>

<file path=xl/calcChain.xml><?xml version="1.0" encoding="utf-8"?>
<calcChain xmlns="http://schemas.openxmlformats.org/spreadsheetml/2006/main">
  <c r="G20" i="46" l="1"/>
  <c r="I20" i="46" s="1"/>
  <c r="K19" i="46" s="1"/>
  <c r="F6" i="59" s="1"/>
  <c r="E20" i="46"/>
  <c r="C20" i="46"/>
  <c r="L9" i="45"/>
  <c r="I11" i="45"/>
  <c r="I10" i="12"/>
  <c r="D7" i="59"/>
  <c r="E7" i="59"/>
  <c r="D8" i="59"/>
  <c r="E8" i="59"/>
  <c r="D9" i="59"/>
  <c r="E9" i="59"/>
  <c r="D10" i="59"/>
  <c r="E10" i="59"/>
  <c r="K19" i="50"/>
  <c r="F10" i="59"/>
  <c r="D11" i="59"/>
  <c r="E11" i="59"/>
  <c r="K19" i="51"/>
  <c r="F11" i="59"/>
  <c r="D12" i="59"/>
  <c r="E12" i="59"/>
  <c r="D13" i="59"/>
  <c r="E13" i="59"/>
  <c r="K19" i="53"/>
  <c r="F13" i="59" s="1"/>
  <c r="D14" i="59"/>
  <c r="E14" i="59"/>
  <c r="K19" i="55"/>
  <c r="F14" i="59" s="1"/>
  <c r="D15" i="59"/>
  <c r="E15" i="59"/>
  <c r="K19" i="56"/>
  <c r="F15" i="59" s="1"/>
  <c r="D16" i="59"/>
  <c r="E16" i="59"/>
  <c r="K19" i="57"/>
  <c r="F16" i="59" s="1"/>
  <c r="D17" i="59"/>
  <c r="E17" i="59"/>
  <c r="K19" i="58"/>
  <c r="F17" i="59" s="1"/>
  <c r="E6" i="59"/>
  <c r="D6" i="59"/>
  <c r="E5" i="59"/>
  <c r="D5" i="59"/>
  <c r="G18" i="58"/>
  <c r="I18" i="58" s="1"/>
  <c r="E18" i="58"/>
  <c r="C18" i="58"/>
  <c r="I13" i="58"/>
  <c r="I11" i="58"/>
  <c r="L9" i="58"/>
  <c r="E2" i="58"/>
  <c r="G18" i="57"/>
  <c r="I18" i="57" s="1"/>
  <c r="E18" i="57"/>
  <c r="C18" i="57"/>
  <c r="I13" i="57"/>
  <c r="I11" i="57"/>
  <c r="L9" i="57"/>
  <c r="E2" i="57"/>
  <c r="G18" i="56"/>
  <c r="I18" i="56" s="1"/>
  <c r="E18" i="56"/>
  <c r="C18" i="56"/>
  <c r="I13" i="56"/>
  <c r="I11" i="56"/>
  <c r="L9" i="56"/>
  <c r="E2" i="56"/>
  <c r="G18" i="55"/>
  <c r="I18" i="55" s="1"/>
  <c r="E18" i="55"/>
  <c r="C18" i="55"/>
  <c r="I13" i="55"/>
  <c r="I11" i="55"/>
  <c r="L9" i="55"/>
  <c r="E2" i="55"/>
  <c r="G18" i="53"/>
  <c r="I18" i="53" s="1"/>
  <c r="E18" i="53"/>
  <c r="C18" i="53"/>
  <c r="I13" i="53"/>
  <c r="I11" i="53"/>
  <c r="L9" i="53"/>
  <c r="E2" i="53"/>
  <c r="K19" i="52"/>
  <c r="F12" i="59" s="1"/>
  <c r="G18" i="52"/>
  <c r="I18" i="52" s="1"/>
  <c r="E18" i="52"/>
  <c r="C18" i="52"/>
  <c r="I13" i="52"/>
  <c r="I11" i="52"/>
  <c r="L9" i="52"/>
  <c r="E2" i="52"/>
  <c r="G18" i="51"/>
  <c r="I18" i="51" s="1"/>
  <c r="E18" i="51"/>
  <c r="C18" i="51"/>
  <c r="I13" i="51"/>
  <c r="I11" i="51"/>
  <c r="L9" i="51"/>
  <c r="E2" i="51"/>
  <c r="G18" i="50"/>
  <c r="I18" i="50" s="1"/>
  <c r="E18" i="50"/>
  <c r="C18" i="50"/>
  <c r="I13" i="50"/>
  <c r="I11" i="50"/>
  <c r="L9" i="50"/>
  <c r="E2" i="50"/>
  <c r="K19" i="49"/>
  <c r="F9" i="59" s="1"/>
  <c r="G18" i="49"/>
  <c r="I18" i="49" s="1"/>
  <c r="E18" i="49"/>
  <c r="C18" i="49"/>
  <c r="I13" i="49"/>
  <c r="I11" i="49"/>
  <c r="L9" i="49"/>
  <c r="E2" i="49"/>
  <c r="K19" i="48"/>
  <c r="F8" i="59" s="1"/>
  <c r="G18" i="48"/>
  <c r="I18" i="48" s="1"/>
  <c r="E18" i="48"/>
  <c r="C18" i="48"/>
  <c r="I13" i="48"/>
  <c r="I11" i="48"/>
  <c r="L9" i="48"/>
  <c r="E2" i="48"/>
  <c r="K19" i="47"/>
  <c r="F7" i="59" s="1"/>
  <c r="G18" i="47"/>
  <c r="I18" i="47" s="1"/>
  <c r="E18" i="47"/>
  <c r="C18" i="47"/>
  <c r="I13" i="47"/>
  <c r="I11" i="47"/>
  <c r="L9" i="47"/>
  <c r="E2" i="47"/>
  <c r="G18" i="46"/>
  <c r="I18" i="46" s="1"/>
  <c r="E18" i="46"/>
  <c r="C18" i="46"/>
  <c r="I13" i="46"/>
  <c r="I11" i="46"/>
  <c r="L9" i="46"/>
  <c r="E2" i="46"/>
  <c r="G18" i="45"/>
  <c r="I18" i="45" s="1"/>
  <c r="E18" i="45"/>
  <c r="C18" i="45"/>
  <c r="I13" i="45"/>
  <c r="E2" i="45"/>
  <c r="I5" i="1"/>
  <c r="L3" i="1"/>
  <c r="I7" i="1"/>
  <c r="K19" i="45"/>
  <c r="F5" i="59"/>
  <c r="F19" i="59" l="1"/>
</calcChain>
</file>

<file path=xl/sharedStrings.xml><?xml version="1.0" encoding="utf-8"?>
<sst xmlns="http://schemas.openxmlformats.org/spreadsheetml/2006/main" count="269" uniqueCount="67">
  <si>
    <t>Antartica</t>
  </si>
  <si>
    <t>Valor Unit.</t>
  </si>
  <si>
    <t>Total</t>
  </si>
  <si>
    <t>Codigo</t>
  </si>
  <si>
    <t>Produto</t>
  </si>
  <si>
    <t>Fantasia</t>
  </si>
  <si>
    <t>Nome do produto</t>
  </si>
  <si>
    <t>Pesquisar</t>
  </si>
  <si>
    <t>Código</t>
  </si>
  <si>
    <t>Skol</t>
  </si>
  <si>
    <t>Bebida Skol</t>
  </si>
  <si>
    <t>Bebida Antartica</t>
  </si>
  <si>
    <t>Brahma</t>
  </si>
  <si>
    <t>Skol Lata</t>
  </si>
  <si>
    <t>Bebida Skol Lata</t>
  </si>
  <si>
    <t>Itaipava</t>
  </si>
  <si>
    <t>Bebida Itaipava</t>
  </si>
  <si>
    <t>Itaipava Lata</t>
  </si>
  <si>
    <t>Bebida itaipava Lata</t>
  </si>
  <si>
    <t>Cod.</t>
  </si>
  <si>
    <t>Quntidade</t>
  </si>
  <si>
    <t>Nº do Pedido</t>
  </si>
  <si>
    <t>Data</t>
  </si>
  <si>
    <t>Forma de Pagamento</t>
  </si>
  <si>
    <t>Forma de pagamento</t>
  </si>
  <si>
    <t>Cheque Predatado</t>
  </si>
  <si>
    <t>Depósito</t>
  </si>
  <si>
    <t>A Prazo</t>
  </si>
  <si>
    <t>A Vista</t>
  </si>
  <si>
    <t>Cartão</t>
  </si>
  <si>
    <t>Boleto</t>
  </si>
  <si>
    <t>Duplicata</t>
  </si>
  <si>
    <t>Bebida Brahma</t>
  </si>
  <si>
    <t>Digite o 1º nome</t>
  </si>
  <si>
    <t>Fornecedores</t>
  </si>
  <si>
    <t>Valor</t>
  </si>
  <si>
    <t>Coca Cola</t>
  </si>
  <si>
    <t>Nova Skin</t>
  </si>
  <si>
    <t>Novo1</t>
  </si>
  <si>
    <t>Novo2</t>
  </si>
  <si>
    <t>Novo3</t>
  </si>
  <si>
    <t>Novo4</t>
  </si>
  <si>
    <t>Novo5</t>
  </si>
  <si>
    <t>Novo6</t>
  </si>
  <si>
    <t>Novo7</t>
  </si>
  <si>
    <t>Novo8</t>
  </si>
  <si>
    <t>Novo9</t>
  </si>
  <si>
    <t>Novo10</t>
  </si>
  <si>
    <t>Fornecedor</t>
  </si>
  <si>
    <t>Data de Pagamento</t>
  </si>
  <si>
    <t>Forma de Pagemento</t>
  </si>
  <si>
    <t>TOTAL</t>
  </si>
  <si>
    <t>Depósito Ind.</t>
  </si>
  <si>
    <t>Cheque</t>
  </si>
  <si>
    <t>Planilha desenvilvida em Macro.</t>
  </si>
  <si>
    <t>Algumas recomendações para sua planilha funcione bem:</t>
  </si>
  <si>
    <t>uma compra.</t>
  </si>
  <si>
    <t>com código, nome completo do produto e valor.</t>
  </si>
  <si>
    <r>
      <rPr>
        <b/>
        <sz val="11"/>
        <color indexed="8"/>
        <rFont val="Calibri"/>
        <family val="2"/>
      </rPr>
      <t>. Opção Fornecedores;</t>
    </r>
    <r>
      <rPr>
        <sz val="11"/>
        <color theme="1"/>
        <rFont val="Calibri"/>
        <family val="2"/>
        <scheme val="minor"/>
      </rPr>
      <t xml:space="preserve"> Nuca inserir linhas manualmente, pois a propria possue comandos e formulas para que sua planilha fucione bem. </t>
    </r>
  </si>
  <si>
    <r>
      <rPr>
        <b/>
        <sz val="11"/>
        <color indexed="8"/>
        <rFont val="Calibri"/>
        <family val="2"/>
      </rPr>
      <t>. Produtos;</t>
    </r>
    <r>
      <rPr>
        <sz val="11"/>
        <color theme="1"/>
        <rFont val="Calibri"/>
        <family val="2"/>
        <scheme val="minor"/>
      </rPr>
      <t xml:space="preserve"> Cadastre os produtos com nome fantasia e códigos.</t>
    </r>
  </si>
  <si>
    <r>
      <rPr>
        <b/>
        <sz val="11"/>
        <color indexed="8"/>
        <rFont val="Calibri"/>
        <family val="2"/>
      </rPr>
      <t>. Compras;</t>
    </r>
    <r>
      <rPr>
        <sz val="11"/>
        <color theme="1"/>
        <rFont val="Calibri"/>
        <family val="2"/>
        <scheme val="minor"/>
      </rPr>
      <t xml:space="preserve"> Você encontrará os resultados de todas as compras nos respectivos Fornecedores. Nunca altere os valores, pois funciona de maneira automatica após efetuar</t>
    </r>
  </si>
  <si>
    <r>
      <rPr>
        <b/>
        <sz val="11"/>
        <color indexed="8"/>
        <rFont val="Calibri"/>
        <family val="2"/>
      </rPr>
      <t>. Forma de pagmento;</t>
    </r>
    <r>
      <rPr>
        <sz val="11"/>
        <color theme="1"/>
        <rFont val="Calibri"/>
        <family val="2"/>
        <scheme val="minor"/>
      </rPr>
      <t xml:space="preserve"> Insira ou altere as forma de pagamento.</t>
    </r>
  </si>
  <si>
    <r>
      <t xml:space="preserve"> Nunca altere os valores dos produtos no campo </t>
    </r>
    <r>
      <rPr>
        <b/>
        <sz val="11"/>
        <color indexed="8"/>
        <rFont val="Calibri"/>
        <family val="2"/>
      </rPr>
      <t>"Lançar compra"</t>
    </r>
    <r>
      <rPr>
        <sz val="11"/>
        <color theme="1"/>
        <rFont val="Calibri"/>
        <family val="2"/>
        <scheme val="minor"/>
      </rPr>
      <t xml:space="preserve">. Para fazer o processo de alteração, vá em </t>
    </r>
    <r>
      <rPr>
        <b/>
        <sz val="11"/>
        <color indexed="8"/>
        <rFont val="Calibri"/>
        <family val="2"/>
      </rPr>
      <t>"Produtos"</t>
    </r>
    <r>
      <rPr>
        <sz val="11"/>
        <color theme="1"/>
        <rFont val="Calibri"/>
        <family val="2"/>
        <scheme val="minor"/>
      </rPr>
      <t>.</t>
    </r>
  </si>
  <si>
    <r>
      <t xml:space="preserve">* Nessa planilha controle de compras você ainda encontra o campo </t>
    </r>
    <r>
      <rPr>
        <b/>
        <sz val="11"/>
        <color indexed="8"/>
        <rFont val="Calibri"/>
        <family val="2"/>
      </rPr>
      <t>''Pesquisa Rápida''</t>
    </r>
    <r>
      <rPr>
        <sz val="11"/>
        <color theme="1"/>
        <rFont val="Calibri"/>
        <family val="2"/>
        <scheme val="minor"/>
      </rPr>
      <t>, onde digita apenas o nome fantasia e recebe o retorno do produto procurado</t>
    </r>
  </si>
  <si>
    <t>Caculé;</t>
  </si>
  <si>
    <t>skol</t>
  </si>
  <si>
    <t>Ambev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</si>
</sst>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R$ &quot;#,##0.00"/>
    <numFmt numFmtId="165" formatCode="00000"/>
    <numFmt numFmtId="166" formatCode="dd/mm/yy;@"/>
    <numFmt numFmtId="167" formatCode="[$-F800]dddd\,\ mmmm\ dd\,\ yyyy"/>
    <numFmt numFmtId="168" formatCode="&quot;R$&quot;\ #,##0.00"/>
  </numFmts>
  <fonts count="29" x14ac:knownFonts="1">
    <font>
      <sz val="11"/>
      <color theme="1"/>
      <name val="Calibri"/>
      <family val="2"/>
      <scheme val="minor"/>
    </font>
    <font>
      <sz val="11"/>
      <color indexed="22"/>
      <name val="Calibri"/>
      <family val="2"/>
    </font>
    <font>
      <sz val="10"/>
      <color indexed="8"/>
      <name val="Calibri"/>
      <family val="2"/>
    </font>
    <font>
      <sz val="11"/>
      <color indexed="63"/>
      <name val="Calibri"/>
      <family val="2"/>
    </font>
    <font>
      <b/>
      <sz val="10"/>
      <color indexed="63"/>
      <name val="Calibri"/>
      <family val="2"/>
    </font>
    <font>
      <sz val="10.5"/>
      <color indexed="63"/>
      <name val="Calibri"/>
      <family val="2"/>
    </font>
    <font>
      <b/>
      <sz val="10.5"/>
      <color indexed="63"/>
      <name val="Calibri"/>
      <family val="2"/>
    </font>
    <font>
      <b/>
      <sz val="10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22"/>
      <name val="Calibri"/>
      <family val="2"/>
    </font>
    <font>
      <b/>
      <sz val="14"/>
      <color indexed="22"/>
      <name val="Calibri"/>
      <family val="2"/>
    </font>
    <font>
      <b/>
      <sz val="12"/>
      <color indexed="8"/>
      <name val="Calibri"/>
      <family val="2"/>
    </font>
    <font>
      <b/>
      <sz val="11"/>
      <color indexed="26"/>
      <name val="Calibri"/>
      <family val="2"/>
    </font>
    <font>
      <b/>
      <sz val="12"/>
      <color indexed="8"/>
      <name val="Calibri"/>
      <family val="2"/>
    </font>
    <font>
      <i/>
      <sz val="11"/>
      <color indexed="8"/>
      <name val="Calibri"/>
      <family val="2"/>
    </font>
    <font>
      <b/>
      <sz val="13"/>
      <color indexed="26"/>
      <name val="Calibri"/>
      <family val="2"/>
    </font>
    <font>
      <sz val="11"/>
      <color indexed="8"/>
      <name val="Calibri"/>
      <family val="2"/>
    </font>
    <font>
      <b/>
      <sz val="24"/>
      <color indexed="63"/>
      <name val="Calibri"/>
      <family val="2"/>
    </font>
    <font>
      <sz val="11"/>
      <color indexed="56"/>
      <name val="Calibri"/>
      <family val="2"/>
    </font>
    <font>
      <sz val="12"/>
      <color indexed="56"/>
      <name val="Calibri"/>
      <family val="2"/>
    </font>
    <font>
      <b/>
      <sz val="12"/>
      <color indexed="22"/>
      <name val="Calibri"/>
      <family val="2"/>
    </font>
    <font>
      <sz val="12"/>
      <color indexed="8"/>
      <name val="Calibri"/>
      <family val="2"/>
    </font>
    <font>
      <b/>
      <sz val="11"/>
      <color indexed="63"/>
      <name val="Calibri"/>
      <family val="2"/>
    </font>
    <font>
      <b/>
      <sz val="14"/>
      <color indexed="8"/>
      <name val="Calibri"/>
      <family val="2"/>
    </font>
    <font>
      <i/>
      <sz val="22"/>
      <color indexed="56"/>
      <name val="Calibri"/>
      <family val="2"/>
    </font>
    <font>
      <b/>
      <i/>
      <sz val="28"/>
      <color indexed="56"/>
      <name val="Calibri"/>
      <family val="2"/>
    </font>
    <font>
      <i/>
      <sz val="11"/>
      <color indexed="63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</fills>
  <borders count="5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/>
      <top/>
      <bottom/>
      <diagonal/>
    </border>
    <border>
      <left/>
      <right/>
      <top/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3"/>
      </bottom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/>
      <right style="thin">
        <color indexed="22"/>
      </right>
      <top style="thin">
        <color indexed="23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2"/>
      </right>
      <top style="thin">
        <color indexed="23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22"/>
      </bottom>
      <diagonal/>
    </border>
    <border>
      <left/>
      <right/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/>
      <diagonal/>
    </border>
    <border>
      <left/>
      <right style="thin">
        <color indexed="63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3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22"/>
      </bottom>
      <diagonal/>
    </border>
    <border>
      <left/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3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/>
      <right style="thin">
        <color indexed="22"/>
      </right>
      <top style="thin">
        <color indexed="63"/>
      </top>
      <bottom/>
      <diagonal/>
    </border>
    <border>
      <left style="thin">
        <color indexed="63"/>
      </left>
      <right/>
      <top/>
      <bottom/>
      <diagonal/>
    </border>
    <border>
      <left style="thin">
        <color indexed="63"/>
      </left>
      <right/>
      <top/>
      <bottom style="thin">
        <color indexed="22"/>
      </bottom>
      <diagonal/>
    </border>
    <border>
      <left style="thin">
        <color indexed="23"/>
      </left>
      <right/>
      <top style="thin">
        <color indexed="23"/>
      </top>
      <bottom style="thin">
        <color indexed="22"/>
      </bottom>
      <diagonal/>
    </border>
    <border>
      <left/>
      <right style="thin">
        <color indexed="22"/>
      </right>
      <top style="thin">
        <color indexed="23"/>
      </top>
      <bottom style="thin">
        <color indexed="22"/>
      </bottom>
      <diagonal/>
    </border>
    <border>
      <left/>
      <right/>
      <top style="thin">
        <color indexed="23"/>
      </top>
      <bottom style="thin">
        <color indexed="2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4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3"/>
      </right>
      <top/>
      <bottom style="thin">
        <color indexed="64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/>
      <right/>
      <top style="thin">
        <color indexed="63"/>
      </top>
      <bottom style="thin">
        <color indexed="63"/>
      </bottom>
      <diagonal/>
    </border>
    <border>
      <left style="thin">
        <color indexed="63"/>
      </left>
      <right style="thin">
        <color indexed="64"/>
      </right>
      <top style="thin">
        <color indexed="64"/>
      </top>
      <bottom style="thin">
        <color indexed="63"/>
      </bottom>
      <diagonal/>
    </border>
    <border>
      <left style="thin">
        <color indexed="64"/>
      </left>
      <right style="thin">
        <color indexed="63"/>
      </right>
      <top style="thin">
        <color indexed="64"/>
      </top>
      <bottom style="thin">
        <color indexed="63"/>
      </bottom>
      <diagonal/>
    </border>
  </borders>
  <cellStyleXfs count="1">
    <xf numFmtId="0" fontId="0" fillId="0" borderId="0"/>
  </cellStyleXfs>
  <cellXfs count="220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3" borderId="0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3" fillId="3" borderId="0" xfId="0" applyFont="1" applyFill="1" applyBorder="1" applyAlignment="1">
      <alignment vertical="center"/>
    </xf>
    <xf numFmtId="0" fontId="2" fillId="2" borderId="0" xfId="0" applyFont="1" applyFill="1" applyBorder="1"/>
    <xf numFmtId="165" fontId="5" fillId="4" borderId="7" xfId="0" applyNumberFormat="1" applyFont="1" applyFill="1" applyBorder="1" applyAlignment="1">
      <alignment horizontal="center"/>
    </xf>
    <xf numFmtId="4" fontId="5" fillId="4" borderId="7" xfId="0" applyNumberFormat="1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 vertical="center"/>
    </xf>
    <xf numFmtId="4" fontId="6" fillId="4" borderId="7" xfId="0" applyNumberFormat="1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2" fillId="2" borderId="13" xfId="0" applyFont="1" applyFill="1" applyBorder="1"/>
    <xf numFmtId="0" fontId="2" fillId="2" borderId="11" xfId="0" applyFont="1" applyFill="1" applyBorder="1"/>
    <xf numFmtId="0" fontId="0" fillId="2" borderId="14" xfId="0" applyFill="1" applyBorder="1"/>
    <xf numFmtId="0" fontId="4" fillId="2" borderId="15" xfId="0" applyFont="1" applyFill="1" applyBorder="1" applyAlignment="1">
      <alignment horizontal="center" vertical="center"/>
    </xf>
    <xf numFmtId="164" fontId="1" fillId="5" borderId="0" xfId="0" applyNumberFormat="1" applyFont="1" applyFill="1" applyBorder="1" applyAlignment="1"/>
    <xf numFmtId="0" fontId="7" fillId="2" borderId="11" xfId="0" applyFont="1" applyFill="1" applyBorder="1" applyAlignment="1">
      <alignment horizontal="right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/>
    <xf numFmtId="0" fontId="0" fillId="2" borderId="4" xfId="0" applyFill="1" applyBorder="1" applyAlignment="1"/>
    <xf numFmtId="0" fontId="0" fillId="5" borderId="0" xfId="0" applyFill="1"/>
    <xf numFmtId="0" fontId="0" fillId="3" borderId="0" xfId="0" applyFill="1"/>
    <xf numFmtId="0" fontId="0" fillId="2" borderId="0" xfId="0" applyFill="1" applyBorder="1" applyAlignment="1"/>
    <xf numFmtId="2" fontId="2" fillId="2" borderId="16" xfId="0" applyNumberFormat="1" applyFont="1" applyFill="1" applyBorder="1" applyAlignment="1">
      <alignment horizontal="center"/>
    </xf>
    <xf numFmtId="0" fontId="7" fillId="2" borderId="0" xfId="0" applyFont="1" applyFill="1" applyBorder="1" applyAlignment="1">
      <alignment horizontal="right"/>
    </xf>
    <xf numFmtId="0" fontId="0" fillId="2" borderId="14" xfId="0" applyFill="1" applyBorder="1" applyAlignment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 applyAlignment="1"/>
    <xf numFmtId="166" fontId="2" fillId="2" borderId="22" xfId="0" applyNumberFormat="1" applyFont="1" applyFill="1" applyBorder="1" applyAlignment="1">
      <alignment horizontal="center"/>
    </xf>
    <xf numFmtId="0" fontId="10" fillId="3" borderId="0" xfId="0" applyFont="1" applyFill="1"/>
    <xf numFmtId="0" fontId="0" fillId="3" borderId="0" xfId="0" applyFill="1" applyBorder="1" applyAlignment="1"/>
    <xf numFmtId="4" fontId="0" fillId="3" borderId="0" xfId="0" applyNumberFormat="1" applyFill="1" applyBorder="1" applyAlignment="1">
      <alignment horizontal="center"/>
    </xf>
    <xf numFmtId="0" fontId="0" fillId="2" borderId="23" xfId="0" applyFill="1" applyBorder="1"/>
    <xf numFmtId="0" fontId="0" fillId="3" borderId="24" xfId="0" applyFill="1" applyBorder="1"/>
    <xf numFmtId="0" fontId="0" fillId="3" borderId="25" xfId="0" applyFill="1" applyBorder="1"/>
    <xf numFmtId="0" fontId="0" fillId="2" borderId="26" xfId="0" applyFill="1" applyBorder="1" applyAlignment="1">
      <alignment horizontal="center"/>
    </xf>
    <xf numFmtId="0" fontId="0" fillId="2" borderId="27" xfId="0" applyFill="1" applyBorder="1"/>
    <xf numFmtId="0" fontId="8" fillId="3" borderId="28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166" fontId="18" fillId="6" borderId="29" xfId="0" applyNumberFormat="1" applyFont="1" applyFill="1" applyBorder="1" applyAlignment="1">
      <alignment horizontal="center"/>
    </xf>
    <xf numFmtId="0" fontId="14" fillId="3" borderId="1" xfId="0" applyFont="1" applyFill="1" applyBorder="1" applyAlignment="1">
      <alignment horizontal="center"/>
    </xf>
    <xf numFmtId="0" fontId="7" fillId="2" borderId="0" xfId="0" applyFont="1" applyFill="1"/>
    <xf numFmtId="0" fontId="7" fillId="2" borderId="30" xfId="0" applyFont="1" applyFill="1" applyBorder="1" applyAlignment="1">
      <alignment horizontal="right"/>
    </xf>
    <xf numFmtId="0" fontId="0" fillId="3" borderId="0" xfId="0" applyFill="1" applyAlignment="1"/>
    <xf numFmtId="0" fontId="0" fillId="2" borderId="0" xfId="0" applyFill="1" applyAlignment="1" applyProtection="1">
      <protection hidden="1"/>
    </xf>
    <xf numFmtId="0" fontId="0" fillId="2" borderId="0" xfId="0" applyFill="1" applyProtection="1">
      <protection hidden="1"/>
    </xf>
    <xf numFmtId="0" fontId="0" fillId="3" borderId="0" xfId="0" applyFill="1" applyBorder="1" applyProtection="1">
      <protection hidden="1"/>
    </xf>
    <xf numFmtId="0" fontId="0" fillId="3" borderId="0" xfId="0" applyFill="1" applyBorder="1" applyAlignment="1" applyProtection="1">
      <protection hidden="1"/>
    </xf>
    <xf numFmtId="4" fontId="0" fillId="3" borderId="0" xfId="0" applyNumberFormat="1" applyFill="1" applyBorder="1" applyAlignment="1" applyProtection="1">
      <alignment horizontal="center"/>
      <protection hidden="1"/>
    </xf>
    <xf numFmtId="0" fontId="0" fillId="3" borderId="0" xfId="0" applyFill="1" applyProtection="1">
      <protection hidden="1"/>
    </xf>
    <xf numFmtId="0" fontId="0" fillId="2" borderId="0" xfId="0" applyFill="1" applyBorder="1" applyProtection="1">
      <protection hidden="1"/>
    </xf>
    <xf numFmtId="0" fontId="0" fillId="3" borderId="24" xfId="0" applyFill="1" applyBorder="1" applyProtection="1">
      <protection hidden="1"/>
    </xf>
    <xf numFmtId="165" fontId="5" fillId="4" borderId="7" xfId="0" applyNumberFormat="1" applyFont="1" applyFill="1" applyBorder="1" applyAlignment="1" applyProtection="1">
      <alignment horizontal="center"/>
      <protection hidden="1"/>
    </xf>
    <xf numFmtId="4" fontId="5" fillId="4" borderId="7" xfId="0" applyNumberFormat="1" applyFont="1" applyFill="1" applyBorder="1" applyAlignment="1" applyProtection="1">
      <alignment horizontal="center"/>
      <protection hidden="1"/>
    </xf>
    <xf numFmtId="0" fontId="5" fillId="4" borderId="7" xfId="0" applyFont="1" applyFill="1" applyBorder="1" applyAlignment="1" applyProtection="1">
      <alignment horizontal="center" vertical="center"/>
      <protection hidden="1"/>
    </xf>
    <xf numFmtId="4" fontId="6" fillId="4" borderId="7" xfId="0" applyNumberFormat="1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Border="1" applyAlignment="1" applyProtection="1">
      <alignment vertical="center"/>
      <protection hidden="1"/>
    </xf>
    <xf numFmtId="164" fontId="1" fillId="5" borderId="0" xfId="0" applyNumberFormat="1" applyFont="1" applyFill="1" applyBorder="1" applyAlignment="1" applyProtection="1">
      <protection hidden="1"/>
    </xf>
    <xf numFmtId="0" fontId="0" fillId="3" borderId="25" xfId="0" applyFill="1" applyBorder="1" applyProtection="1">
      <protection hidden="1"/>
    </xf>
    <xf numFmtId="0" fontId="0" fillId="2" borderId="26" xfId="0" applyFill="1" applyBorder="1" applyAlignment="1" applyProtection="1">
      <alignment horizontal="center"/>
      <protection hidden="1"/>
    </xf>
    <xf numFmtId="0" fontId="0" fillId="2" borderId="27" xfId="0" applyFill="1" applyBorder="1" applyProtection="1">
      <protection hidden="1"/>
    </xf>
    <xf numFmtId="0" fontId="17" fillId="3" borderId="2" xfId="0" applyFont="1" applyFill="1" applyBorder="1" applyAlignment="1" applyProtection="1">
      <alignment horizontal="center"/>
      <protection hidden="1"/>
    </xf>
    <xf numFmtId="166" fontId="18" fillId="6" borderId="29" xfId="0" applyNumberFormat="1" applyFont="1" applyFill="1" applyBorder="1" applyAlignment="1" applyProtection="1">
      <alignment horizontal="center"/>
      <protection hidden="1"/>
    </xf>
    <xf numFmtId="0" fontId="0" fillId="2" borderId="25" xfId="0" applyFill="1" applyBorder="1"/>
    <xf numFmtId="0" fontId="0" fillId="4" borderId="31" xfId="0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5" fillId="4" borderId="7" xfId="0" applyFont="1" applyFill="1" applyBorder="1" applyAlignment="1" applyProtection="1">
      <alignment horizontal="center"/>
      <protection hidden="1"/>
    </xf>
    <xf numFmtId="0" fontId="0" fillId="3" borderId="0" xfId="0" applyFill="1" applyBorder="1" applyAlignment="1" applyProtection="1">
      <alignment horizontal="center"/>
      <protection hidden="1"/>
    </xf>
    <xf numFmtId="0" fontId="4" fillId="2" borderId="15" xfId="0" applyFont="1" applyFill="1" applyBorder="1" applyAlignment="1" applyProtection="1">
      <alignment horizontal="center" vertical="center"/>
      <protection hidden="1"/>
    </xf>
    <xf numFmtId="166" fontId="20" fillId="4" borderId="33" xfId="0" applyNumberFormat="1" applyFont="1" applyFill="1" applyBorder="1" applyAlignment="1">
      <alignment horizontal="center"/>
    </xf>
    <xf numFmtId="0" fontId="20" fillId="4" borderId="33" xfId="0" applyNumberFormat="1" applyFont="1" applyFill="1" applyBorder="1" applyAlignment="1">
      <alignment horizontal="center"/>
    </xf>
    <xf numFmtId="4" fontId="20" fillId="4" borderId="33" xfId="0" applyNumberFormat="1" applyFont="1" applyFill="1" applyBorder="1" applyAlignment="1">
      <alignment horizontal="center"/>
    </xf>
    <xf numFmtId="0" fontId="21" fillId="4" borderId="33" xfId="0" applyFont="1" applyFill="1" applyBorder="1" applyAlignment="1">
      <alignment horizontal="center"/>
    </xf>
    <xf numFmtId="4" fontId="9" fillId="4" borderId="33" xfId="0" applyNumberFormat="1" applyFont="1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33" xfId="0" applyFill="1" applyBorder="1"/>
    <xf numFmtId="2" fontId="20" fillId="4" borderId="33" xfId="0" applyNumberFormat="1" applyFont="1" applyFill="1" applyBorder="1" applyAlignment="1">
      <alignment horizontal="center"/>
    </xf>
    <xf numFmtId="0" fontId="24" fillId="2" borderId="0" xfId="0" applyFont="1" applyFill="1" applyAlignment="1">
      <alignment horizontal="right"/>
    </xf>
    <xf numFmtId="0" fontId="22" fillId="3" borderId="33" xfId="0" applyFont="1" applyFill="1" applyBorder="1" applyAlignment="1">
      <alignment horizontal="center"/>
    </xf>
    <xf numFmtId="0" fontId="23" fillId="3" borderId="33" xfId="0" applyFont="1" applyFill="1" applyBorder="1"/>
    <xf numFmtId="0" fontId="0" fillId="2" borderId="0" xfId="0" applyFill="1" applyBorder="1" applyProtection="1"/>
    <xf numFmtId="0" fontId="0" fillId="2" borderId="0" xfId="0" applyFill="1" applyProtection="1"/>
    <xf numFmtId="0" fontId="0" fillId="2" borderId="0" xfId="0" applyFill="1" applyAlignment="1" applyProtection="1"/>
    <xf numFmtId="0" fontId="0" fillId="2" borderId="0" xfId="0" applyFill="1" applyBorder="1" applyAlignment="1" applyProtection="1">
      <alignment horizontal="center"/>
    </xf>
    <xf numFmtId="0" fontId="0" fillId="2" borderId="0" xfId="0" applyFill="1" applyBorder="1" applyAlignment="1" applyProtection="1"/>
    <xf numFmtId="0" fontId="0" fillId="2" borderId="4" xfId="0" applyFill="1" applyBorder="1" applyAlignment="1" applyProtection="1"/>
    <xf numFmtId="0" fontId="0" fillId="2" borderId="14" xfId="0" applyFill="1" applyBorder="1" applyAlignment="1" applyProtection="1"/>
    <xf numFmtId="0" fontId="0" fillId="2" borderId="6" xfId="0" applyFill="1" applyBorder="1" applyProtection="1"/>
    <xf numFmtId="0" fontId="0" fillId="2" borderId="12" xfId="0" applyFill="1" applyBorder="1" applyProtection="1"/>
    <xf numFmtId="0" fontId="0" fillId="2" borderId="18" xfId="0" applyFill="1" applyBorder="1" applyProtection="1"/>
    <xf numFmtId="0" fontId="7" fillId="2" borderId="0" xfId="0" applyFont="1" applyFill="1" applyBorder="1" applyAlignment="1" applyProtection="1">
      <alignment horizontal="right"/>
    </xf>
    <xf numFmtId="0" fontId="7" fillId="2" borderId="11" xfId="0" applyFont="1" applyFill="1" applyBorder="1" applyAlignment="1" applyProtection="1">
      <alignment horizontal="right"/>
    </xf>
    <xf numFmtId="0" fontId="0" fillId="2" borderId="19" xfId="0" applyFill="1" applyBorder="1" applyProtection="1"/>
    <xf numFmtId="0" fontId="2" fillId="2" borderId="13" xfId="0" applyFont="1" applyFill="1" applyBorder="1" applyProtection="1"/>
    <xf numFmtId="0" fontId="2" fillId="2" borderId="0" xfId="0" applyFont="1" applyFill="1" applyBorder="1" applyProtection="1"/>
    <xf numFmtId="0" fontId="8" fillId="3" borderId="28" xfId="0" applyFont="1" applyFill="1" applyBorder="1" applyAlignment="1" applyProtection="1">
      <alignment horizontal="center"/>
    </xf>
    <xf numFmtId="166" fontId="2" fillId="2" borderId="22" xfId="0" applyNumberFormat="1" applyFont="1" applyFill="1" applyBorder="1" applyAlignment="1" applyProtection="1">
      <alignment horizontal="center"/>
    </xf>
    <xf numFmtId="0" fontId="0" fillId="2" borderId="21" xfId="0" applyFill="1" applyBorder="1" applyAlignment="1" applyProtection="1"/>
    <xf numFmtId="0" fontId="2" fillId="2" borderId="11" xfId="0" applyFont="1" applyFill="1" applyBorder="1" applyProtection="1"/>
    <xf numFmtId="165" fontId="0" fillId="3" borderId="0" xfId="0" applyNumberFormat="1" applyFill="1" applyBorder="1" applyAlignment="1" applyProtection="1">
      <alignment horizontal="center"/>
    </xf>
    <xf numFmtId="0" fontId="0" fillId="2" borderId="14" xfId="0" applyFill="1" applyBorder="1" applyProtection="1"/>
    <xf numFmtId="0" fontId="0" fillId="2" borderId="8" xfId="0" applyFill="1" applyBorder="1" applyProtection="1"/>
    <xf numFmtId="0" fontId="0" fillId="2" borderId="17" xfId="0" applyFill="1" applyBorder="1" applyProtection="1"/>
    <xf numFmtId="0" fontId="0" fillId="2" borderId="10" xfId="0" applyFill="1" applyBorder="1" applyProtection="1"/>
    <xf numFmtId="0" fontId="0" fillId="2" borderId="20" xfId="0" applyFill="1" applyBorder="1" applyProtection="1"/>
    <xf numFmtId="0" fontId="0" fillId="3" borderId="0" xfId="0" applyFill="1" applyBorder="1" applyAlignment="1" applyProtection="1">
      <alignment horizontal="center"/>
    </xf>
    <xf numFmtId="0" fontId="0" fillId="2" borderId="23" xfId="0" applyFill="1" applyBorder="1" applyProtection="1"/>
    <xf numFmtId="165" fontId="0" fillId="8" borderId="5" xfId="0" applyNumberFormat="1" applyFill="1" applyBorder="1" applyAlignment="1">
      <alignment horizontal="center"/>
    </xf>
    <xf numFmtId="164" fontId="0" fillId="8" borderId="16" xfId="0" applyNumberFormat="1" applyFill="1" applyBorder="1" applyAlignment="1">
      <alignment horizontal="center"/>
    </xf>
    <xf numFmtId="0" fontId="4" fillId="2" borderId="15" xfId="0" applyFont="1" applyFill="1" applyBorder="1" applyAlignment="1" applyProtection="1">
      <alignment horizontal="center" vertical="center"/>
      <protection hidden="1"/>
    </xf>
    <xf numFmtId="165" fontId="2" fillId="8" borderId="1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4" fontId="2" fillId="8" borderId="1" xfId="0" applyNumberFormat="1" applyFont="1" applyFill="1" applyBorder="1" applyAlignment="1">
      <alignment horizontal="center"/>
    </xf>
    <xf numFmtId="2" fontId="2" fillId="8" borderId="16" xfId="0" applyNumberFormat="1" applyFont="1" applyFill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2" borderId="4" xfId="0" applyFill="1" applyBorder="1" applyProtection="1">
      <protection hidden="1"/>
    </xf>
    <xf numFmtId="0" fontId="0" fillId="2" borderId="14" xfId="0" applyFill="1" applyBorder="1" applyProtection="1">
      <protection hidden="1"/>
    </xf>
    <xf numFmtId="0" fontId="0" fillId="2" borderId="3" xfId="0" applyFill="1" applyBorder="1" applyAlignment="1" applyProtection="1">
      <protection hidden="1"/>
    </xf>
    <xf numFmtId="0" fontId="0" fillId="2" borderId="18" xfId="0" applyFill="1" applyBorder="1" applyAlignment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0" fontId="25" fillId="2" borderId="0" xfId="0" applyFont="1" applyFill="1" applyProtection="1">
      <protection hidden="1"/>
    </xf>
    <xf numFmtId="0" fontId="0" fillId="9" borderId="0" xfId="0" applyFill="1" applyBorder="1" applyProtection="1">
      <protection hidden="1"/>
    </xf>
    <xf numFmtId="0" fontId="0" fillId="9" borderId="0" xfId="0" applyFill="1" applyAlignment="1" applyProtection="1">
      <protection hidden="1"/>
    </xf>
    <xf numFmtId="0" fontId="0" fillId="9" borderId="0" xfId="0" applyFill="1" applyProtection="1">
      <protection hidden="1"/>
    </xf>
    <xf numFmtId="0" fontId="0" fillId="2" borderId="0" xfId="0" applyFill="1" applyAlignment="1" applyProtection="1">
      <alignment horizontal="center"/>
      <protection hidden="1"/>
    </xf>
    <xf numFmtId="167" fontId="26" fillId="2" borderId="0" xfId="0" applyNumberFormat="1" applyFont="1" applyFill="1" applyBorder="1" applyAlignment="1" applyProtection="1">
      <alignment horizontal="left" vertical="center"/>
      <protection hidden="1"/>
    </xf>
    <xf numFmtId="167" fontId="27" fillId="2" borderId="0" xfId="0" applyNumberFormat="1" applyFont="1" applyFill="1" applyBorder="1" applyAlignment="1" applyProtection="1">
      <alignment horizontal="center" vertical="center"/>
      <protection hidden="1"/>
    </xf>
    <xf numFmtId="0" fontId="0" fillId="2" borderId="3" xfId="0" applyFill="1" applyBorder="1" applyAlignment="1" applyProtection="1">
      <alignment horizontal="center"/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2" borderId="18" xfId="0" applyFill="1" applyBorder="1" applyAlignment="1" applyProtection="1">
      <alignment horizontal="center"/>
      <protection hidden="1"/>
    </xf>
    <xf numFmtId="0" fontId="0" fillId="2" borderId="8" xfId="0" applyFill="1" applyBorder="1" applyAlignment="1" applyProtection="1">
      <alignment horizontal="center"/>
      <protection hidden="1"/>
    </xf>
    <xf numFmtId="0" fontId="0" fillId="2" borderId="10" xfId="0" applyFill="1" applyBorder="1" applyAlignment="1" applyProtection="1">
      <alignment horizontal="center"/>
      <protection hidden="1"/>
    </xf>
    <xf numFmtId="0" fontId="0" fillId="2" borderId="20" xfId="0" applyFill="1" applyBorder="1" applyAlignment="1" applyProtection="1">
      <alignment horizontal="center"/>
      <protection hidden="1"/>
    </xf>
    <xf numFmtId="0" fontId="0" fillId="2" borderId="5" xfId="0" applyFill="1" applyBorder="1" applyAlignment="1" applyProtection="1">
      <alignment horizontal="center"/>
      <protection hidden="1"/>
    </xf>
    <xf numFmtId="0" fontId="0" fillId="2" borderId="6" xfId="0" applyFill="1" applyBorder="1" applyAlignment="1" applyProtection="1">
      <alignment horizontal="center"/>
      <protection hidden="1"/>
    </xf>
    <xf numFmtId="0" fontId="0" fillId="2" borderId="12" xfId="0" applyFill="1" applyBorder="1" applyAlignment="1" applyProtection="1">
      <alignment horizontal="center"/>
      <protection hidden="1"/>
    </xf>
    <xf numFmtId="0" fontId="2" fillId="8" borderId="39" xfId="0" applyFont="1" applyFill="1" applyBorder="1" applyAlignment="1">
      <alignment horizontal="center"/>
    </xf>
    <xf numFmtId="0" fontId="2" fillId="8" borderId="41" xfId="0" applyFont="1" applyFill="1" applyBorder="1" applyAlignment="1">
      <alignment horizontal="center"/>
    </xf>
    <xf numFmtId="4" fontId="0" fillId="8" borderId="39" xfId="0" applyNumberFormat="1" applyFill="1" applyBorder="1" applyAlignment="1">
      <alignment horizontal="center"/>
    </xf>
    <xf numFmtId="4" fontId="0" fillId="8" borderId="41" xfId="0" applyNumberFormat="1" applyFill="1" applyBorder="1" applyAlignment="1">
      <alignment horizontal="center"/>
    </xf>
    <xf numFmtId="0" fontId="0" fillId="2" borderId="34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36" xfId="0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3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9" fillId="5" borderId="0" xfId="0" applyFont="1" applyFill="1" applyAlignment="1">
      <alignment horizontal="center"/>
    </xf>
    <xf numFmtId="165" fontId="9" fillId="4" borderId="44" xfId="0" applyNumberFormat="1" applyFont="1" applyFill="1" applyBorder="1" applyAlignment="1" applyProtection="1">
      <alignment horizontal="center"/>
    </xf>
    <xf numFmtId="165" fontId="9" fillId="4" borderId="45" xfId="0" applyNumberFormat="1" applyFont="1" applyFill="1" applyBorder="1" applyAlignment="1" applyProtection="1">
      <alignment horizontal="center"/>
    </xf>
    <xf numFmtId="167" fontId="28" fillId="2" borderId="0" xfId="0" applyNumberFormat="1" applyFont="1" applyFill="1" applyAlignment="1" applyProtection="1">
      <alignment horizontal="center"/>
    </xf>
    <xf numFmtId="0" fontId="2" fillId="8" borderId="39" xfId="0" applyFont="1" applyFill="1" applyBorder="1" applyAlignment="1" applyProtection="1">
      <alignment horizontal="center" vertical="center"/>
    </xf>
    <xf numFmtId="0" fontId="2" fillId="8" borderId="40" xfId="0" applyFont="1" applyFill="1" applyBorder="1" applyAlignment="1" applyProtection="1">
      <alignment horizontal="center" vertical="center"/>
    </xf>
    <xf numFmtId="165" fontId="2" fillId="8" borderId="39" xfId="0" applyNumberFormat="1" applyFont="1" applyFill="1" applyBorder="1" applyAlignment="1" applyProtection="1">
      <alignment horizontal="center"/>
      <protection hidden="1"/>
    </xf>
    <xf numFmtId="165" fontId="2" fillId="8" borderId="40" xfId="0" applyNumberFormat="1" applyFont="1" applyFill="1" applyBorder="1" applyAlignment="1" applyProtection="1">
      <alignment horizontal="center"/>
      <protection hidden="1"/>
    </xf>
    <xf numFmtId="0" fontId="2" fillId="8" borderId="39" xfId="0" applyFont="1" applyFill="1" applyBorder="1" applyAlignment="1" applyProtection="1">
      <alignment horizontal="center"/>
      <protection hidden="1"/>
    </xf>
    <xf numFmtId="0" fontId="2" fillId="8" borderId="41" xfId="0" applyFont="1" applyFill="1" applyBorder="1" applyAlignment="1" applyProtection="1">
      <alignment horizontal="center"/>
      <protection hidden="1"/>
    </xf>
    <xf numFmtId="0" fontId="2" fillId="8" borderId="40" xfId="0" applyFont="1" applyFill="1" applyBorder="1" applyAlignment="1" applyProtection="1">
      <alignment horizontal="center"/>
      <protection hidden="1"/>
    </xf>
    <xf numFmtId="0" fontId="11" fillId="3" borderId="42" xfId="0" applyFont="1" applyFill="1" applyBorder="1" applyAlignment="1" applyProtection="1">
      <alignment horizontal="center"/>
    </xf>
    <xf numFmtId="0" fontId="11" fillId="3" borderId="43" xfId="0" applyFont="1" applyFill="1" applyBorder="1" applyAlignment="1" applyProtection="1">
      <alignment horizontal="center"/>
    </xf>
    <xf numFmtId="0" fontId="17" fillId="3" borderId="49" xfId="0" applyFont="1" applyFill="1" applyBorder="1" applyAlignment="1" applyProtection="1">
      <alignment horizontal="center"/>
      <protection hidden="1"/>
    </xf>
    <xf numFmtId="0" fontId="17" fillId="3" borderId="50" xfId="0" applyFont="1" applyFill="1" applyBorder="1" applyAlignment="1" applyProtection="1">
      <alignment horizontal="center"/>
      <protection hidden="1"/>
    </xf>
    <xf numFmtId="0" fontId="4" fillId="2" borderId="15" xfId="0" applyFont="1" applyFill="1" applyBorder="1" applyAlignment="1" applyProtection="1">
      <alignment horizontal="center" vertical="center"/>
      <protection hidden="1"/>
    </xf>
    <xf numFmtId="0" fontId="12" fillId="3" borderId="51" xfId="0" applyFont="1" applyFill="1" applyBorder="1" applyAlignment="1" applyProtection="1">
      <alignment horizontal="center" vertical="center"/>
      <protection hidden="1"/>
    </xf>
    <xf numFmtId="0" fontId="12" fillId="3" borderId="52" xfId="0" applyFont="1" applyFill="1" applyBorder="1" applyAlignment="1" applyProtection="1">
      <alignment horizontal="center" vertical="center"/>
      <protection hidden="1"/>
    </xf>
    <xf numFmtId="0" fontId="12" fillId="3" borderId="29" xfId="0" applyFont="1" applyFill="1" applyBorder="1" applyAlignment="1" applyProtection="1">
      <alignment horizontal="center" vertical="center"/>
      <protection hidden="1"/>
    </xf>
    <xf numFmtId="0" fontId="15" fillId="7" borderId="53" xfId="0" applyFont="1" applyFill="1" applyBorder="1" applyAlignment="1" applyProtection="1">
      <alignment horizontal="center"/>
      <protection hidden="1"/>
    </xf>
    <xf numFmtId="0" fontId="15" fillId="7" borderId="54" xfId="0" applyFont="1" applyFill="1" applyBorder="1" applyAlignment="1" applyProtection="1">
      <alignment horizontal="center"/>
      <protection hidden="1"/>
    </xf>
    <xf numFmtId="0" fontId="5" fillId="4" borderId="7" xfId="0" applyFont="1" applyFill="1" applyBorder="1" applyAlignment="1" applyProtection="1">
      <alignment horizontal="center"/>
      <protection hidden="1"/>
    </xf>
    <xf numFmtId="164" fontId="13" fillId="4" borderId="46" xfId="0" applyNumberFormat="1" applyFont="1" applyFill="1" applyBorder="1" applyAlignment="1" applyProtection="1">
      <alignment horizontal="center"/>
      <protection hidden="1"/>
    </xf>
    <xf numFmtId="164" fontId="13" fillId="4" borderId="47" xfId="0" applyNumberFormat="1" applyFont="1" applyFill="1" applyBorder="1" applyAlignment="1" applyProtection="1">
      <alignment horizontal="center"/>
      <protection hidden="1"/>
    </xf>
    <xf numFmtId="164" fontId="13" fillId="4" borderId="48" xfId="0" applyNumberFormat="1" applyFont="1" applyFill="1" applyBorder="1" applyAlignment="1" applyProtection="1">
      <alignment horizontal="center"/>
      <protection hidden="1"/>
    </xf>
    <xf numFmtId="0" fontId="0" fillId="3" borderId="0" xfId="0" applyFill="1" applyBorder="1" applyAlignment="1" applyProtection="1">
      <alignment horizontal="center"/>
      <protection hidden="1"/>
    </xf>
    <xf numFmtId="165" fontId="9" fillId="4" borderId="44" xfId="0" applyNumberFormat="1" applyFont="1" applyFill="1" applyBorder="1" applyAlignment="1">
      <alignment horizontal="center"/>
    </xf>
    <xf numFmtId="165" fontId="9" fillId="4" borderId="45" xfId="0" applyNumberFormat="1" applyFont="1" applyFill="1" applyBorder="1" applyAlignment="1">
      <alignment horizontal="center"/>
    </xf>
    <xf numFmtId="167" fontId="16" fillId="2" borderId="0" xfId="0" applyNumberFormat="1" applyFont="1" applyFill="1" applyAlignment="1">
      <alignment horizontal="center"/>
    </xf>
    <xf numFmtId="0" fontId="2" fillId="2" borderId="39" xfId="0" applyFont="1" applyFill="1" applyBorder="1" applyAlignment="1">
      <alignment horizontal="center" vertical="center"/>
    </xf>
    <xf numFmtId="0" fontId="2" fillId="2" borderId="40" xfId="0" applyFont="1" applyFill="1" applyBorder="1" applyAlignment="1">
      <alignment horizontal="center" vertical="center"/>
    </xf>
    <xf numFmtId="165" fontId="2" fillId="2" borderId="39" xfId="0" applyNumberFormat="1" applyFont="1" applyFill="1" applyBorder="1" applyAlignment="1">
      <alignment horizontal="center"/>
    </xf>
    <xf numFmtId="165" fontId="2" fillId="2" borderId="40" xfId="0" applyNumberFormat="1" applyFont="1" applyFill="1" applyBorder="1" applyAlignment="1">
      <alignment horizontal="center"/>
    </xf>
    <xf numFmtId="0" fontId="2" fillId="2" borderId="39" xfId="0" applyFont="1" applyFill="1" applyBorder="1" applyAlignment="1">
      <alignment horizontal="center"/>
    </xf>
    <xf numFmtId="0" fontId="2" fillId="2" borderId="41" xfId="0" applyFont="1" applyFill="1" applyBorder="1" applyAlignment="1">
      <alignment horizontal="center"/>
    </xf>
    <xf numFmtId="0" fontId="2" fillId="2" borderId="40" xfId="0" applyFont="1" applyFill="1" applyBorder="1" applyAlignment="1">
      <alignment horizontal="center"/>
    </xf>
    <xf numFmtId="0" fontId="11" fillId="3" borderId="42" xfId="0" applyFont="1" applyFill="1" applyBorder="1" applyAlignment="1">
      <alignment horizontal="center"/>
    </xf>
    <xf numFmtId="0" fontId="11" fillId="3" borderId="43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168" fontId="13" fillId="4" borderId="46" xfId="0" applyNumberFormat="1" applyFont="1" applyFill="1" applyBorder="1" applyAlignment="1">
      <alignment horizontal="center"/>
    </xf>
    <xf numFmtId="168" fontId="13" fillId="4" borderId="47" xfId="0" applyNumberFormat="1" applyFont="1" applyFill="1" applyBorder="1" applyAlignment="1">
      <alignment horizontal="center"/>
    </xf>
    <xf numFmtId="168" fontId="13" fillId="4" borderId="48" xfId="0" applyNumberFormat="1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17" fillId="3" borderId="49" xfId="0" applyFont="1" applyFill="1" applyBorder="1" applyAlignment="1">
      <alignment horizontal="center"/>
    </xf>
    <xf numFmtId="0" fontId="17" fillId="3" borderId="50" xfId="0" applyFont="1" applyFill="1" applyBorder="1" applyAlignment="1">
      <alignment horizontal="center"/>
    </xf>
    <xf numFmtId="0" fontId="4" fillId="2" borderId="15" xfId="0" applyFont="1" applyFill="1" applyBorder="1" applyAlignment="1">
      <alignment horizontal="center" vertical="center"/>
    </xf>
    <xf numFmtId="0" fontId="12" fillId="3" borderId="51" xfId="0" applyFont="1" applyFill="1" applyBorder="1" applyAlignment="1">
      <alignment horizontal="center" vertical="center"/>
    </xf>
    <xf numFmtId="0" fontId="12" fillId="3" borderId="52" xfId="0" applyFont="1" applyFill="1" applyBorder="1" applyAlignment="1">
      <alignment horizontal="center" vertical="center"/>
    </xf>
    <xf numFmtId="0" fontId="12" fillId="3" borderId="29" xfId="0" applyFont="1" applyFill="1" applyBorder="1" applyAlignment="1">
      <alignment horizontal="center" vertical="center"/>
    </xf>
    <xf numFmtId="0" fontId="15" fillId="7" borderId="53" xfId="0" applyFont="1" applyFill="1" applyBorder="1" applyAlignment="1">
      <alignment horizontal="center"/>
    </xf>
    <xf numFmtId="0" fontId="15" fillId="7" borderId="54" xfId="0" applyFont="1" applyFill="1" applyBorder="1" applyAlignment="1">
      <alignment horizontal="center"/>
    </xf>
    <xf numFmtId="164" fontId="13" fillId="4" borderId="51" xfId="0" applyNumberFormat="1" applyFont="1" applyFill="1" applyBorder="1" applyAlignment="1">
      <alignment horizontal="center"/>
    </xf>
    <xf numFmtId="164" fontId="13" fillId="4" borderId="52" xfId="0" applyNumberFormat="1" applyFont="1" applyFill="1" applyBorder="1" applyAlignment="1">
      <alignment horizontal="center"/>
    </xf>
    <xf numFmtId="164" fontId="13" fillId="4" borderId="29" xfId="0" applyNumberFormat="1" applyFont="1" applyFill="1" applyBorder="1" applyAlignment="1">
      <alignment horizontal="center"/>
    </xf>
    <xf numFmtId="164" fontId="13" fillId="4" borderId="46" xfId="0" applyNumberFormat="1" applyFont="1" applyFill="1" applyBorder="1" applyAlignment="1">
      <alignment horizontal="center"/>
    </xf>
    <xf numFmtId="164" fontId="13" fillId="4" borderId="47" xfId="0" applyNumberFormat="1" applyFont="1" applyFill="1" applyBorder="1" applyAlignment="1">
      <alignment horizontal="center"/>
    </xf>
    <xf numFmtId="164" fontId="13" fillId="4" borderId="48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2</xdr:row>
      <xdr:rowOff>28575</xdr:rowOff>
    </xdr:from>
    <xdr:to>
      <xdr:col>3</xdr:col>
      <xdr:colOff>495299</xdr:colOff>
      <xdr:row>4</xdr:row>
      <xdr:rowOff>57150</xdr:rowOff>
    </xdr:to>
    <xdr:sp macro="[0]!Forcedores" textlink="">
      <xdr:nvSpPr>
        <xdr:cNvPr id="2" name="Arredondar Retângulo em um Canto Diagonal 1"/>
        <xdr:cNvSpPr/>
      </xdr:nvSpPr>
      <xdr:spPr>
        <a:xfrm>
          <a:off x="733425" y="409575"/>
          <a:ext cx="1590674" cy="409575"/>
        </a:xfrm>
        <a:prstGeom prst="round2Diag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Fornecedore</a:t>
          </a:r>
          <a:r>
            <a:rPr lang="pt-BR" sz="1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s</a:t>
          </a:r>
        </a:p>
      </xdr:txBody>
    </xdr:sp>
    <xdr:clientData/>
  </xdr:twoCellAnchor>
  <xdr:twoCellAnchor>
    <xdr:from>
      <xdr:col>1</xdr:col>
      <xdr:colOff>114300</xdr:colOff>
      <xdr:row>4</xdr:row>
      <xdr:rowOff>171449</xdr:rowOff>
    </xdr:from>
    <xdr:to>
      <xdr:col>3</xdr:col>
      <xdr:colOff>485774</xdr:colOff>
      <xdr:row>7</xdr:row>
      <xdr:rowOff>9524</xdr:rowOff>
    </xdr:to>
    <xdr:sp macro="[0]!Produtos" textlink="">
      <xdr:nvSpPr>
        <xdr:cNvPr id="3" name="Arredondar Retângulo em um Canto Diagonal 2"/>
        <xdr:cNvSpPr/>
      </xdr:nvSpPr>
      <xdr:spPr>
        <a:xfrm>
          <a:off x="723900" y="933449"/>
          <a:ext cx="1590674" cy="409575"/>
        </a:xfrm>
        <a:prstGeom prst="round2Diag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Produtos</a:t>
          </a:r>
          <a:endParaRPr lang="pt-BR" sz="14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1</xdr:col>
      <xdr:colOff>114300</xdr:colOff>
      <xdr:row>7</xdr:row>
      <xdr:rowOff>133349</xdr:rowOff>
    </xdr:from>
    <xdr:to>
      <xdr:col>3</xdr:col>
      <xdr:colOff>485774</xdr:colOff>
      <xdr:row>9</xdr:row>
      <xdr:rowOff>161924</xdr:rowOff>
    </xdr:to>
    <xdr:sp macro="[0]!Compras" textlink="">
      <xdr:nvSpPr>
        <xdr:cNvPr id="5" name="Arredondar Retângulo em um Canto Diagonal 4"/>
        <xdr:cNvSpPr/>
      </xdr:nvSpPr>
      <xdr:spPr>
        <a:xfrm>
          <a:off x="723900" y="1466849"/>
          <a:ext cx="1590674" cy="409575"/>
        </a:xfrm>
        <a:prstGeom prst="round2Diag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Compras</a:t>
          </a:r>
          <a:endParaRPr lang="pt-BR" sz="14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1</xdr:col>
      <xdr:colOff>114300</xdr:colOff>
      <xdr:row>10</xdr:row>
      <xdr:rowOff>123824</xdr:rowOff>
    </xdr:from>
    <xdr:to>
      <xdr:col>3</xdr:col>
      <xdr:colOff>485774</xdr:colOff>
      <xdr:row>12</xdr:row>
      <xdr:rowOff>152399</xdr:rowOff>
    </xdr:to>
    <xdr:sp macro="[0]!Forma_pag" textlink="">
      <xdr:nvSpPr>
        <xdr:cNvPr id="6" name="Arredondar Retângulo em um Canto Diagonal 5"/>
        <xdr:cNvSpPr/>
      </xdr:nvSpPr>
      <xdr:spPr>
        <a:xfrm>
          <a:off x="723900" y="2028824"/>
          <a:ext cx="1590674" cy="409575"/>
        </a:xfrm>
        <a:prstGeom prst="round2Diag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Formas</a:t>
          </a:r>
          <a:r>
            <a:rPr lang="pt-BR" sz="1400" b="1" i="0" baseline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 de Pag.</a:t>
          </a:r>
          <a:endParaRPr lang="pt-BR" sz="14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oneCellAnchor>
    <xdr:from>
      <xdr:col>6</xdr:col>
      <xdr:colOff>66674</xdr:colOff>
      <xdr:row>2</xdr:row>
      <xdr:rowOff>21853</xdr:rowOff>
    </xdr:from>
    <xdr:ext cx="5667375" cy="1407308"/>
    <xdr:sp macro="[0]!Menu" textlink="">
      <xdr:nvSpPr>
        <xdr:cNvPr id="7" name="CaixaDeTexto 6"/>
        <xdr:cNvSpPr txBox="1"/>
      </xdr:nvSpPr>
      <xdr:spPr>
        <a:xfrm>
          <a:off x="3724274" y="402853"/>
          <a:ext cx="5667375" cy="140730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b">
          <a:spAutoFit/>
        </a:bodyPr>
        <a:lstStyle/>
        <a:p>
          <a:r>
            <a:rPr lang="pt-BR" sz="4800" b="1">
              <a:solidFill>
                <a:schemeClr val="tx1">
                  <a:lumMod val="65000"/>
                  <a:lumOff val="35000"/>
                </a:schemeClr>
              </a:solidFill>
            </a:rPr>
            <a:t>Controle</a:t>
          </a:r>
          <a:r>
            <a:rPr lang="pt-BR" sz="4800" b="1" baseline="0">
              <a:solidFill>
                <a:schemeClr val="tx1">
                  <a:lumMod val="65000"/>
                  <a:lumOff val="35000"/>
                </a:schemeClr>
              </a:solidFill>
            </a:rPr>
            <a:t> de Compras</a:t>
          </a:r>
        </a:p>
        <a:p>
          <a:endParaRPr lang="pt-BR" sz="3600" b="1" baseline="0">
            <a:solidFill>
              <a:schemeClr val="bg1">
                <a:lumMod val="75000"/>
              </a:schemeClr>
            </a:solidFill>
          </a:endParaRPr>
        </a:p>
      </xdr:txBody>
    </xdr:sp>
    <xdr:clientData/>
  </xdr:oneCellAnchor>
  <xdr:twoCellAnchor>
    <xdr:from>
      <xdr:col>1</xdr:col>
      <xdr:colOff>104775</xdr:colOff>
      <xdr:row>13</xdr:row>
      <xdr:rowOff>104775</xdr:rowOff>
    </xdr:from>
    <xdr:to>
      <xdr:col>3</xdr:col>
      <xdr:colOff>476249</xdr:colOff>
      <xdr:row>15</xdr:row>
      <xdr:rowOff>133350</xdr:rowOff>
    </xdr:to>
    <xdr:sp macro="[0]!Ajudaa" textlink="">
      <xdr:nvSpPr>
        <xdr:cNvPr id="8" name="Arredondar Retângulo em um Canto Diagonal 7"/>
        <xdr:cNvSpPr/>
      </xdr:nvSpPr>
      <xdr:spPr>
        <a:xfrm>
          <a:off x="714375" y="2581275"/>
          <a:ext cx="1590674" cy="409575"/>
        </a:xfrm>
        <a:prstGeom prst="round2DiagRect">
          <a:avLst/>
        </a:prstGeom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4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Ajuda</a:t>
          </a:r>
          <a:endParaRPr lang="pt-BR" sz="14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657225</xdr:colOff>
      <xdr:row>5</xdr:row>
      <xdr:rowOff>0</xdr:rowOff>
    </xdr:from>
    <xdr:to>
      <xdr:col>2</xdr:col>
      <xdr:colOff>209550</xdr:colOff>
      <xdr:row>6</xdr:row>
      <xdr:rowOff>47625</xdr:rowOff>
    </xdr:to>
    <xdr:sp macro="[0]!Novo_produto" textlink="">
      <xdr:nvSpPr>
        <xdr:cNvPr id="2" name="Retângulo de cantos arredondados 1"/>
        <xdr:cNvSpPr/>
      </xdr:nvSpPr>
      <xdr:spPr>
        <a:xfrm>
          <a:off x="1266825" y="952500"/>
          <a:ext cx="609600" cy="2381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Novo</a:t>
          </a:r>
        </a:p>
      </xdr:txBody>
    </xdr:sp>
    <xdr:clientData/>
  </xdr:twoCellAnchor>
  <xdr:twoCellAnchor>
    <xdr:from>
      <xdr:col>2</xdr:col>
      <xdr:colOff>485775</xdr:colOff>
      <xdr:row>4</xdr:row>
      <xdr:rowOff>180975</xdr:rowOff>
    </xdr:from>
    <xdr:to>
      <xdr:col>3</xdr:col>
      <xdr:colOff>638175</xdr:colOff>
      <xdr:row>6</xdr:row>
      <xdr:rowOff>38100</xdr:rowOff>
    </xdr:to>
    <xdr:sp macro="[0]!Salvar" textlink="">
      <xdr:nvSpPr>
        <xdr:cNvPr id="3" name="Retângulo de cantos arredondados 2"/>
        <xdr:cNvSpPr/>
      </xdr:nvSpPr>
      <xdr:spPr>
        <a:xfrm>
          <a:off x="2152650" y="942975"/>
          <a:ext cx="828675" cy="2381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Confirmar</a:t>
          </a:r>
        </a:p>
      </xdr:txBody>
    </xdr:sp>
    <xdr:clientData/>
  </xdr:twoCellAnchor>
  <xdr:twoCellAnchor>
    <xdr:from>
      <xdr:col>3</xdr:col>
      <xdr:colOff>866775</xdr:colOff>
      <xdr:row>4</xdr:row>
      <xdr:rowOff>180975</xdr:rowOff>
    </xdr:from>
    <xdr:to>
      <xdr:col>3</xdr:col>
      <xdr:colOff>1476375</xdr:colOff>
      <xdr:row>6</xdr:row>
      <xdr:rowOff>38100</xdr:rowOff>
    </xdr:to>
    <xdr:sp macro="[0]!Menu" textlink="">
      <xdr:nvSpPr>
        <xdr:cNvPr id="4" name="Retângulo de cantos arredondados 3"/>
        <xdr:cNvSpPr/>
      </xdr:nvSpPr>
      <xdr:spPr>
        <a:xfrm>
          <a:off x="3209925" y="942975"/>
          <a:ext cx="609600" cy="23812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/>
            <a:t>Menu</a:t>
          </a:r>
        </a:p>
      </xdr:txBody>
    </xdr:sp>
    <xdr:clientData/>
  </xdr:twoCellAnchor>
  <xdr:oneCellAnchor>
    <xdr:from>
      <xdr:col>0</xdr:col>
      <xdr:colOff>495300</xdr:colOff>
      <xdr:row>1</xdr:row>
      <xdr:rowOff>57150</xdr:rowOff>
    </xdr:from>
    <xdr:ext cx="1902590" cy="554313"/>
    <xdr:sp macro="[0]!Salvar" textlink="">
      <xdr:nvSpPr>
        <xdr:cNvPr id="5" name="CaixaDeTexto 4"/>
        <xdr:cNvSpPr txBox="1"/>
      </xdr:nvSpPr>
      <xdr:spPr>
        <a:xfrm>
          <a:off x="495300" y="247650"/>
          <a:ext cx="1921616" cy="5734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pt-BR" sz="3200" b="1">
              <a:solidFill>
                <a:schemeClr val="tx1">
                  <a:lumMod val="75000"/>
                  <a:lumOff val="25000"/>
                </a:schemeClr>
              </a:solidFill>
              <a:latin typeface="Cambria" pitchFamily="18" charset="0"/>
            </a:rPr>
            <a:t>Produtos</a:t>
          </a:r>
        </a:p>
      </xdr:txBody>
    </xdr:sp>
    <xdr:clientData/>
  </xdr:oneCellAnchor>
  <xdr:twoCellAnchor>
    <xdr:from>
      <xdr:col>9</xdr:col>
      <xdr:colOff>400050</xdr:colOff>
      <xdr:row>6</xdr:row>
      <xdr:rowOff>0</xdr:rowOff>
    </xdr:from>
    <xdr:to>
      <xdr:col>11</xdr:col>
      <xdr:colOff>171450</xdr:colOff>
      <xdr:row>7</xdr:row>
      <xdr:rowOff>9525</xdr:rowOff>
    </xdr:to>
    <xdr:sp macro="[0]!Limpar1" textlink="">
      <xdr:nvSpPr>
        <xdr:cNvPr id="7" name="Retângulo de cantos arredondados 6"/>
        <xdr:cNvSpPr/>
      </xdr:nvSpPr>
      <xdr:spPr>
        <a:xfrm>
          <a:off x="8591550" y="952500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304800</xdr:colOff>
      <xdr:row>2</xdr:row>
      <xdr:rowOff>152400</xdr:rowOff>
    </xdr:from>
    <xdr:to>
      <xdr:col>8</xdr:col>
      <xdr:colOff>76200</xdr:colOff>
      <xdr:row>4</xdr:row>
      <xdr:rowOff>152401</xdr:rowOff>
    </xdr:to>
    <xdr:sp macro="[0]!Menu" textlink="">
      <xdr:nvSpPr>
        <xdr:cNvPr id="2" name="Retângulo de cantos arredondados 1"/>
        <xdr:cNvSpPr/>
      </xdr:nvSpPr>
      <xdr:spPr>
        <a:xfrm>
          <a:off x="7762875" y="533400"/>
          <a:ext cx="99060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104775</xdr:rowOff>
    </xdr:from>
    <xdr:to>
      <xdr:col>1</xdr:col>
      <xdr:colOff>600075</xdr:colOff>
      <xdr:row>2</xdr:row>
      <xdr:rowOff>152401</xdr:rowOff>
    </xdr:to>
    <xdr:sp macro="[0]!Menu" textlink="">
      <xdr:nvSpPr>
        <xdr:cNvPr id="2" name="Retângulo de cantos arredondados 1"/>
        <xdr:cNvSpPr/>
      </xdr:nvSpPr>
      <xdr:spPr>
        <a:xfrm>
          <a:off x="238125" y="1047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95250</xdr:colOff>
      <xdr:row>4</xdr:row>
      <xdr:rowOff>19050</xdr:rowOff>
    </xdr:from>
    <xdr:to>
      <xdr:col>2</xdr:col>
      <xdr:colOff>304800</xdr:colOff>
      <xdr:row>6</xdr:row>
      <xdr:rowOff>47625</xdr:rowOff>
    </xdr:to>
    <xdr:sp macro="[0]!Embeu" textlink="">
      <xdr:nvSpPr>
        <xdr:cNvPr id="2" name="Arredondar Retângulo em um Canto Diagonal 1"/>
        <xdr:cNvSpPr/>
      </xdr:nvSpPr>
      <xdr:spPr>
        <a:xfrm>
          <a:off x="485775" y="209550"/>
          <a:ext cx="1638300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0">
            <a:defRPr sz="1000"/>
          </a:pPr>
          <a:r>
            <a:rPr lang="pt-BR" sz="1600" b="1" i="0" u="none" strike="noStrike" baseline="0">
              <a:solidFill>
                <a:srgbClr val="FFFFFF"/>
              </a:solidFill>
              <a:latin typeface="Cambria"/>
            </a:rPr>
            <a:t>Ambev</a:t>
          </a:r>
        </a:p>
      </xdr:txBody>
    </xdr:sp>
    <xdr:clientData/>
  </xdr:twoCellAnchor>
  <xdr:twoCellAnchor>
    <xdr:from>
      <xdr:col>3</xdr:col>
      <xdr:colOff>57150</xdr:colOff>
      <xdr:row>4</xdr:row>
      <xdr:rowOff>9525</xdr:rowOff>
    </xdr:from>
    <xdr:to>
      <xdr:col>5</xdr:col>
      <xdr:colOff>276225</xdr:colOff>
      <xdr:row>6</xdr:row>
      <xdr:rowOff>38100</xdr:rowOff>
    </xdr:to>
    <xdr:sp macro="[0]!Coca_cola" textlink="">
      <xdr:nvSpPr>
        <xdr:cNvPr id="11" name="Arredondar Retângulo em um Canto Diagonal 10"/>
        <xdr:cNvSpPr/>
      </xdr:nvSpPr>
      <xdr:spPr>
        <a:xfrm>
          <a:off x="2333625" y="200025"/>
          <a:ext cx="1676400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Coca</a:t>
          </a:r>
          <a:r>
            <a:rPr lang="pt-BR" sz="1600" b="1" i="0" baseline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 Cola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5</xdr:col>
      <xdr:colOff>514350</xdr:colOff>
      <xdr:row>4</xdr:row>
      <xdr:rowOff>9525</xdr:rowOff>
    </xdr:from>
    <xdr:to>
      <xdr:col>8</xdr:col>
      <xdr:colOff>333375</xdr:colOff>
      <xdr:row>6</xdr:row>
      <xdr:rowOff>38100</xdr:rowOff>
    </xdr:to>
    <xdr:sp macro="[0]!Nova_skin" textlink="">
      <xdr:nvSpPr>
        <xdr:cNvPr id="12" name="Arredondar Retângulo em um Canto Diagonal 11"/>
        <xdr:cNvSpPr/>
      </xdr:nvSpPr>
      <xdr:spPr>
        <a:xfrm>
          <a:off x="4248150" y="200025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Nova</a:t>
          </a:r>
          <a:r>
            <a:rPr lang="pt-BR" sz="1600" b="1" i="0" baseline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 Skin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15</xdr:col>
      <xdr:colOff>57150</xdr:colOff>
      <xdr:row>3</xdr:row>
      <xdr:rowOff>180975</xdr:rowOff>
    </xdr:from>
    <xdr:to>
      <xdr:col>17</xdr:col>
      <xdr:colOff>485775</xdr:colOff>
      <xdr:row>6</xdr:row>
      <xdr:rowOff>19050</xdr:rowOff>
    </xdr:to>
    <xdr:sp macro="[0]!Novo3" textlink="">
      <xdr:nvSpPr>
        <xdr:cNvPr id="13" name="Arredondar Retângulo em um Canto Diagonal 12"/>
        <xdr:cNvSpPr/>
      </xdr:nvSpPr>
      <xdr:spPr>
        <a:xfrm>
          <a:off x="9886950" y="180975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Novo3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12</xdr:col>
      <xdr:colOff>28575</xdr:colOff>
      <xdr:row>3</xdr:row>
      <xdr:rowOff>180975</xdr:rowOff>
    </xdr:from>
    <xdr:to>
      <xdr:col>14</xdr:col>
      <xdr:colOff>457200</xdr:colOff>
      <xdr:row>6</xdr:row>
      <xdr:rowOff>19050</xdr:rowOff>
    </xdr:to>
    <xdr:sp macro="[0]!Novo2" textlink="">
      <xdr:nvSpPr>
        <xdr:cNvPr id="14" name="Arredondar Retângulo em um Canto Diagonal 13"/>
        <xdr:cNvSpPr/>
      </xdr:nvSpPr>
      <xdr:spPr>
        <a:xfrm>
          <a:off x="8029575" y="180975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Novo2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8</xdr:col>
      <xdr:colOff>571500</xdr:colOff>
      <xdr:row>3</xdr:row>
      <xdr:rowOff>180975</xdr:rowOff>
    </xdr:from>
    <xdr:to>
      <xdr:col>11</xdr:col>
      <xdr:colOff>390525</xdr:colOff>
      <xdr:row>6</xdr:row>
      <xdr:rowOff>19050</xdr:rowOff>
    </xdr:to>
    <xdr:sp macro="[0]!Novo1" textlink="">
      <xdr:nvSpPr>
        <xdr:cNvPr id="15" name="Arredondar Retângulo em um Canto Diagonal 14"/>
        <xdr:cNvSpPr/>
      </xdr:nvSpPr>
      <xdr:spPr>
        <a:xfrm>
          <a:off x="6057900" y="180975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Novo1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1</xdr:col>
      <xdr:colOff>85725</xdr:colOff>
      <xdr:row>7</xdr:row>
      <xdr:rowOff>9525</xdr:rowOff>
    </xdr:from>
    <xdr:to>
      <xdr:col>2</xdr:col>
      <xdr:colOff>304800</xdr:colOff>
      <xdr:row>9</xdr:row>
      <xdr:rowOff>38100</xdr:rowOff>
    </xdr:to>
    <xdr:sp macro="[0]!Novo4" textlink="">
      <xdr:nvSpPr>
        <xdr:cNvPr id="16" name="Arredondar Retângulo em um Canto Diagonal 15"/>
        <xdr:cNvSpPr/>
      </xdr:nvSpPr>
      <xdr:spPr>
        <a:xfrm>
          <a:off x="476250" y="771525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Novo4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1</xdr:col>
      <xdr:colOff>85725</xdr:colOff>
      <xdr:row>10</xdr:row>
      <xdr:rowOff>38100</xdr:rowOff>
    </xdr:from>
    <xdr:to>
      <xdr:col>2</xdr:col>
      <xdr:colOff>304800</xdr:colOff>
      <xdr:row>12</xdr:row>
      <xdr:rowOff>66675</xdr:rowOff>
    </xdr:to>
    <xdr:sp macro="[0]!Novo10" textlink="">
      <xdr:nvSpPr>
        <xdr:cNvPr id="17" name="Arredondar Retângulo em um Canto Diagonal 16"/>
        <xdr:cNvSpPr/>
      </xdr:nvSpPr>
      <xdr:spPr>
        <a:xfrm>
          <a:off x="476250" y="1371600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Novo10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3</xdr:col>
      <xdr:colOff>28575</xdr:colOff>
      <xdr:row>7</xdr:row>
      <xdr:rowOff>9525</xdr:rowOff>
    </xdr:from>
    <xdr:to>
      <xdr:col>5</xdr:col>
      <xdr:colOff>266700</xdr:colOff>
      <xdr:row>9</xdr:row>
      <xdr:rowOff>38100</xdr:rowOff>
    </xdr:to>
    <xdr:sp macro="[0]!Noovo5" textlink="">
      <xdr:nvSpPr>
        <xdr:cNvPr id="18" name="Arredondar Retângulo em um Canto Diagonal 17"/>
        <xdr:cNvSpPr/>
      </xdr:nvSpPr>
      <xdr:spPr>
        <a:xfrm>
          <a:off x="2305050" y="771525"/>
          <a:ext cx="1695450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Novo5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5</xdr:col>
      <xdr:colOff>514350</xdr:colOff>
      <xdr:row>7</xdr:row>
      <xdr:rowOff>9525</xdr:rowOff>
    </xdr:from>
    <xdr:to>
      <xdr:col>8</xdr:col>
      <xdr:colOff>333375</xdr:colOff>
      <xdr:row>9</xdr:row>
      <xdr:rowOff>38100</xdr:rowOff>
    </xdr:to>
    <xdr:sp macro="[0]!Novo6" textlink="">
      <xdr:nvSpPr>
        <xdr:cNvPr id="19" name="Arredondar Retângulo em um Canto Diagonal 18"/>
        <xdr:cNvSpPr/>
      </xdr:nvSpPr>
      <xdr:spPr>
        <a:xfrm>
          <a:off x="4248150" y="771525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Novo6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8</xdr:col>
      <xdr:colOff>571500</xdr:colOff>
      <xdr:row>7</xdr:row>
      <xdr:rowOff>0</xdr:rowOff>
    </xdr:from>
    <xdr:to>
      <xdr:col>11</xdr:col>
      <xdr:colOff>390525</xdr:colOff>
      <xdr:row>9</xdr:row>
      <xdr:rowOff>28575</xdr:rowOff>
    </xdr:to>
    <xdr:sp macro="[0]!Novo7" textlink="">
      <xdr:nvSpPr>
        <xdr:cNvPr id="20" name="Arredondar Retângulo em um Canto Diagonal 19"/>
        <xdr:cNvSpPr/>
      </xdr:nvSpPr>
      <xdr:spPr>
        <a:xfrm>
          <a:off x="6057900" y="762000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Novo7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12</xdr:col>
      <xdr:colOff>19050</xdr:colOff>
      <xdr:row>7</xdr:row>
      <xdr:rowOff>9525</xdr:rowOff>
    </xdr:from>
    <xdr:to>
      <xdr:col>14</xdr:col>
      <xdr:colOff>447675</xdr:colOff>
      <xdr:row>9</xdr:row>
      <xdr:rowOff>38100</xdr:rowOff>
    </xdr:to>
    <xdr:sp macro="[0]!Novo8" textlink="">
      <xdr:nvSpPr>
        <xdr:cNvPr id="21" name="Arredondar Retângulo em um Canto Diagonal 20"/>
        <xdr:cNvSpPr/>
      </xdr:nvSpPr>
      <xdr:spPr>
        <a:xfrm>
          <a:off x="7943850" y="771525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Novo8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15</xdr:col>
      <xdr:colOff>57150</xdr:colOff>
      <xdr:row>6</xdr:row>
      <xdr:rowOff>180975</xdr:rowOff>
    </xdr:from>
    <xdr:to>
      <xdr:col>17</xdr:col>
      <xdr:colOff>485775</xdr:colOff>
      <xdr:row>9</xdr:row>
      <xdr:rowOff>19050</xdr:rowOff>
    </xdr:to>
    <xdr:sp macro="[0]!Novo9" textlink="">
      <xdr:nvSpPr>
        <xdr:cNvPr id="22" name="Arredondar Retângulo em um Canto Diagonal 21"/>
        <xdr:cNvSpPr/>
      </xdr:nvSpPr>
      <xdr:spPr>
        <a:xfrm>
          <a:off x="9810750" y="752475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Novo9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3</xdr:col>
      <xdr:colOff>28575</xdr:colOff>
      <xdr:row>10</xdr:row>
      <xdr:rowOff>28575</xdr:rowOff>
    </xdr:from>
    <xdr:to>
      <xdr:col>5</xdr:col>
      <xdr:colOff>266700</xdr:colOff>
      <xdr:row>12</xdr:row>
      <xdr:rowOff>57150</xdr:rowOff>
    </xdr:to>
    <xdr:sp macro="" textlink="">
      <xdr:nvSpPr>
        <xdr:cNvPr id="23" name="Arredondar Retângulo em um Canto Diagonal 22"/>
        <xdr:cNvSpPr/>
      </xdr:nvSpPr>
      <xdr:spPr>
        <a:xfrm>
          <a:off x="2305050" y="1362075"/>
          <a:ext cx="1695450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Novo11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5</xdr:col>
      <xdr:colOff>514350</xdr:colOff>
      <xdr:row>10</xdr:row>
      <xdr:rowOff>9525</xdr:rowOff>
    </xdr:from>
    <xdr:to>
      <xdr:col>8</xdr:col>
      <xdr:colOff>333375</xdr:colOff>
      <xdr:row>12</xdr:row>
      <xdr:rowOff>38100</xdr:rowOff>
    </xdr:to>
    <xdr:sp macro="" textlink="">
      <xdr:nvSpPr>
        <xdr:cNvPr id="24" name="Arredondar Retângulo em um Canto Diagonal 23"/>
        <xdr:cNvSpPr/>
      </xdr:nvSpPr>
      <xdr:spPr>
        <a:xfrm>
          <a:off x="4248150" y="1343025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Novo12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12</xdr:col>
      <xdr:colOff>28575</xdr:colOff>
      <xdr:row>10</xdr:row>
      <xdr:rowOff>0</xdr:rowOff>
    </xdr:from>
    <xdr:to>
      <xdr:col>14</xdr:col>
      <xdr:colOff>457200</xdr:colOff>
      <xdr:row>12</xdr:row>
      <xdr:rowOff>28575</xdr:rowOff>
    </xdr:to>
    <xdr:sp macro="" textlink="">
      <xdr:nvSpPr>
        <xdr:cNvPr id="25" name="Arredondar Retângulo em um Canto Diagonal 24"/>
        <xdr:cNvSpPr/>
      </xdr:nvSpPr>
      <xdr:spPr>
        <a:xfrm>
          <a:off x="7953375" y="1333500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Novo14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8</xdr:col>
      <xdr:colOff>590550</xdr:colOff>
      <xdr:row>10</xdr:row>
      <xdr:rowOff>0</xdr:rowOff>
    </xdr:from>
    <xdr:to>
      <xdr:col>11</xdr:col>
      <xdr:colOff>409575</xdr:colOff>
      <xdr:row>12</xdr:row>
      <xdr:rowOff>28575</xdr:rowOff>
    </xdr:to>
    <xdr:sp macro="" textlink="">
      <xdr:nvSpPr>
        <xdr:cNvPr id="26" name="Arredondar Retângulo em um Canto Diagonal 25"/>
        <xdr:cNvSpPr/>
      </xdr:nvSpPr>
      <xdr:spPr>
        <a:xfrm>
          <a:off x="6076950" y="1333500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Novo13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15</xdr:col>
      <xdr:colOff>66675</xdr:colOff>
      <xdr:row>10</xdr:row>
      <xdr:rowOff>9525</xdr:rowOff>
    </xdr:from>
    <xdr:to>
      <xdr:col>17</xdr:col>
      <xdr:colOff>495300</xdr:colOff>
      <xdr:row>12</xdr:row>
      <xdr:rowOff>38100</xdr:rowOff>
    </xdr:to>
    <xdr:sp macro="" textlink="">
      <xdr:nvSpPr>
        <xdr:cNvPr id="27" name="Arredondar Retângulo em um Canto Diagonal 26"/>
        <xdr:cNvSpPr/>
      </xdr:nvSpPr>
      <xdr:spPr>
        <a:xfrm>
          <a:off x="9820275" y="1343025"/>
          <a:ext cx="1647825" cy="40957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600" b="1" i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+mj-lt"/>
            </a:rPr>
            <a:t>Novo15</a:t>
          </a:r>
          <a:endParaRPr lang="pt-BR" sz="16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+mj-lt"/>
          </a:endParaRPr>
        </a:p>
      </xdr:txBody>
    </xdr:sp>
    <xdr:clientData/>
  </xdr:twoCellAnchor>
  <xdr:twoCellAnchor>
    <xdr:from>
      <xdr:col>1</xdr:col>
      <xdr:colOff>114300</xdr:colOff>
      <xdr:row>15</xdr:row>
      <xdr:rowOff>66675</xdr:rowOff>
    </xdr:from>
    <xdr:to>
      <xdr:col>1</xdr:col>
      <xdr:colOff>1085850</xdr:colOff>
      <xdr:row>17</xdr:row>
      <xdr:rowOff>114301</xdr:rowOff>
    </xdr:to>
    <xdr:sp macro="[0]!Menu" textlink="">
      <xdr:nvSpPr>
        <xdr:cNvPr id="32" name="Retângulo de cantos arredondados 31"/>
        <xdr:cNvSpPr/>
      </xdr:nvSpPr>
      <xdr:spPr>
        <a:xfrm>
          <a:off x="504825" y="23526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rtl="0">
            <a:defRPr sz="1000"/>
          </a:pPr>
          <a:r>
            <a:rPr lang="pt-BR" sz="2400" b="1" i="0" u="none" strike="noStrike" baseline="0">
              <a:solidFill>
                <a:srgbClr val="FFFFFF"/>
              </a:solidFill>
              <a:latin typeface="Arial Black"/>
            </a:rPr>
            <a:t>Ambev</a:t>
          </a: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Coca</a:t>
          </a:r>
          <a:r>
            <a:rPr lang="pt-BR" sz="2400" b="1" baseline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 Cola</a:t>
          </a:r>
          <a:endParaRPr lang="pt-BR" sz="24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Arial Black" pitchFamily="34" charset="0"/>
          </a:endParaRP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Nova</a:t>
          </a:r>
          <a:r>
            <a:rPr lang="pt-BR" sz="2400" b="1" baseline="0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 Skin</a:t>
          </a:r>
          <a:endParaRPr lang="pt-BR" sz="2400" b="1">
            <a:effectLst>
              <a:outerShdw blurRad="50800" dist="38100" algn="l" rotWithShape="0">
                <a:prstClr val="black">
                  <a:alpha val="40000"/>
                </a:prstClr>
              </a:outerShdw>
            </a:effectLst>
            <a:latin typeface="Arial Black" pitchFamily="34" charset="0"/>
          </a:endParaRP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Novo1</a:t>
          </a: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Novo2</a:t>
          </a: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Novo3</a:t>
          </a: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Novo4</a:t>
          </a: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Novo5</a:t>
          </a: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Novo6</a:t>
          </a: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Novo7</a:t>
          </a: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Novo8</a:t>
          </a: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Novo9</a:t>
          </a: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542924</xdr:colOff>
      <xdr:row>6</xdr:row>
      <xdr:rowOff>66675</xdr:rowOff>
    </xdr:from>
    <xdr:to>
      <xdr:col>3</xdr:col>
      <xdr:colOff>600075</xdr:colOff>
      <xdr:row>10</xdr:row>
      <xdr:rowOff>114300</xdr:rowOff>
    </xdr:to>
    <xdr:sp macro="[0]!ok" textlink="">
      <xdr:nvSpPr>
        <xdr:cNvPr id="2" name="Arredondar Retângulo em um Canto Diagonal 1"/>
        <xdr:cNvSpPr/>
      </xdr:nvSpPr>
      <xdr:spPr>
        <a:xfrm>
          <a:off x="542924" y="1209675"/>
          <a:ext cx="1771651" cy="809625"/>
        </a:xfrm>
        <a:prstGeom prst="round2Diag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 b="1">
              <a:effectLst>
                <a:outerShdw blurRad="50800" dist="38100" algn="l" rotWithShape="0">
                  <a:prstClr val="black">
                    <a:alpha val="40000"/>
                  </a:prstClr>
                </a:outerShdw>
              </a:effectLst>
              <a:latin typeface="Arial Black" pitchFamily="34" charset="0"/>
            </a:rPr>
            <a:t>Novo10</a:t>
          </a:r>
        </a:p>
      </xdr:txBody>
    </xdr:sp>
    <xdr:clientData/>
  </xdr:twoCellAnchor>
  <xdr:twoCellAnchor>
    <xdr:from>
      <xdr:col>0</xdr:col>
      <xdr:colOff>552449</xdr:colOff>
      <xdr:row>13</xdr:row>
      <xdr:rowOff>0</xdr:rowOff>
    </xdr:from>
    <xdr:to>
      <xdr:col>2</xdr:col>
      <xdr:colOff>885825</xdr:colOff>
      <xdr:row>14</xdr:row>
      <xdr:rowOff>123824</xdr:rowOff>
    </xdr:to>
    <xdr:sp macro="[0]!Adicionar_compra" textlink="">
      <xdr:nvSpPr>
        <xdr:cNvPr id="3" name="Retângulo 2"/>
        <xdr:cNvSpPr/>
      </xdr:nvSpPr>
      <xdr:spPr>
        <a:xfrm>
          <a:off x="552449" y="2476500"/>
          <a:ext cx="1152526" cy="314324"/>
        </a:xfrm>
        <a:prstGeom prst="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1100" b="1"/>
            <a:t>Lançar</a:t>
          </a:r>
          <a:r>
            <a:rPr lang="pt-BR" sz="1100" b="1" baseline="0"/>
            <a:t>  compra</a:t>
          </a:r>
          <a:endParaRPr lang="pt-BR" sz="1100" b="1"/>
        </a:p>
      </xdr:txBody>
    </xdr:sp>
    <xdr:clientData/>
  </xdr:twoCellAnchor>
  <xdr:twoCellAnchor>
    <xdr:from>
      <xdr:col>8</xdr:col>
      <xdr:colOff>28575</xdr:colOff>
      <xdr:row>6</xdr:row>
      <xdr:rowOff>28575</xdr:rowOff>
    </xdr:from>
    <xdr:to>
      <xdr:col>9</xdr:col>
      <xdr:colOff>238125</xdr:colOff>
      <xdr:row>7</xdr:row>
      <xdr:rowOff>38100</xdr:rowOff>
    </xdr:to>
    <xdr:sp macro="[0]!Limpar_pesquisa" textlink="">
      <xdr:nvSpPr>
        <xdr:cNvPr id="4" name="Retângulo de cantos arredondados 3"/>
        <xdr:cNvSpPr/>
      </xdr:nvSpPr>
      <xdr:spPr>
        <a:xfrm>
          <a:off x="6372225" y="1171575"/>
          <a:ext cx="914400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Limpar</a:t>
          </a:r>
          <a:r>
            <a:rPr lang="pt-BR" sz="800" baseline="0"/>
            <a:t> Pesquisa</a:t>
          </a:r>
          <a:endParaRPr lang="pt-BR" sz="800"/>
        </a:p>
      </xdr:txBody>
    </xdr:sp>
    <xdr:clientData/>
  </xdr:twoCellAnchor>
  <xdr:twoCellAnchor>
    <xdr:from>
      <xdr:col>10</xdr:col>
      <xdr:colOff>485775</xdr:colOff>
      <xdr:row>1</xdr:row>
      <xdr:rowOff>57151</xdr:rowOff>
    </xdr:from>
    <xdr:to>
      <xdr:col>11</xdr:col>
      <xdr:colOff>600075</xdr:colOff>
      <xdr:row>2</xdr:row>
      <xdr:rowOff>104775</xdr:rowOff>
    </xdr:to>
    <xdr:sp macro="[0]!Alterar_" textlink="">
      <xdr:nvSpPr>
        <xdr:cNvPr id="5" name="Retângulo de cantos arredondados 4"/>
        <xdr:cNvSpPr/>
      </xdr:nvSpPr>
      <xdr:spPr>
        <a:xfrm>
          <a:off x="7800975" y="247651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Alterar</a:t>
          </a:r>
        </a:p>
      </xdr:txBody>
    </xdr:sp>
    <xdr:clientData/>
  </xdr:twoCellAnchor>
  <xdr:twoCellAnchor>
    <xdr:from>
      <xdr:col>12</xdr:col>
      <xdr:colOff>47625</xdr:colOff>
      <xdr:row>1</xdr:row>
      <xdr:rowOff>57150</xdr:rowOff>
    </xdr:from>
    <xdr:to>
      <xdr:col>13</xdr:col>
      <xdr:colOff>495300</xdr:colOff>
      <xdr:row>2</xdr:row>
      <xdr:rowOff>104774</xdr:rowOff>
    </xdr:to>
    <xdr:sp macro="[0]!ok" textlink="">
      <xdr:nvSpPr>
        <xdr:cNvPr id="6" name="Retângulo de cantos arredondados 5"/>
        <xdr:cNvSpPr/>
      </xdr:nvSpPr>
      <xdr:spPr>
        <a:xfrm>
          <a:off x="8582025" y="247650"/>
          <a:ext cx="723900" cy="23812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900"/>
            <a:t>OK</a:t>
          </a:r>
        </a:p>
      </xdr:txBody>
    </xdr:sp>
    <xdr:clientData/>
  </xdr:twoCellAnchor>
  <xdr:twoCellAnchor>
    <xdr:from>
      <xdr:col>1</xdr:col>
      <xdr:colOff>0</xdr:colOff>
      <xdr:row>1</xdr:row>
      <xdr:rowOff>66675</xdr:rowOff>
    </xdr:from>
    <xdr:to>
      <xdr:col>2</xdr:col>
      <xdr:colOff>704850</xdr:colOff>
      <xdr:row>3</xdr:row>
      <xdr:rowOff>114301</xdr:rowOff>
    </xdr:to>
    <xdr:sp macro="[0]!Menu" textlink="">
      <xdr:nvSpPr>
        <xdr:cNvPr id="7" name="Retângulo de cantos arredondados 6"/>
        <xdr:cNvSpPr/>
      </xdr:nvSpPr>
      <xdr:spPr>
        <a:xfrm>
          <a:off x="552450" y="257175"/>
          <a:ext cx="971550" cy="4286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b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  <xdr:twoCellAnchor>
    <xdr:from>
      <xdr:col>4</xdr:col>
      <xdr:colOff>9524</xdr:colOff>
      <xdr:row>10</xdr:row>
      <xdr:rowOff>38100</xdr:rowOff>
    </xdr:from>
    <xdr:to>
      <xdr:col>5</xdr:col>
      <xdr:colOff>923924</xdr:colOff>
      <xdr:row>11</xdr:row>
      <xdr:rowOff>47625</xdr:rowOff>
    </xdr:to>
    <xdr:sp macro="[0]!Nova_data" textlink="">
      <xdr:nvSpPr>
        <xdr:cNvPr id="8" name="Retângulo de cantos arredondados 7"/>
        <xdr:cNvSpPr/>
      </xdr:nvSpPr>
      <xdr:spPr>
        <a:xfrm>
          <a:off x="2724149" y="1943100"/>
          <a:ext cx="1724025" cy="2000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pt-BR" sz="800"/>
            <a:t>NOVA</a:t>
          </a:r>
          <a:r>
            <a:rPr lang="pt-BR" sz="800" baseline="0"/>
            <a:t> DATA / PEDIDO</a:t>
          </a:r>
          <a:endParaRPr lang="pt-BR" sz="8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19</xdr:row>
      <xdr:rowOff>171450</xdr:rowOff>
    </xdr:from>
    <xdr:to>
      <xdr:col>17</xdr:col>
      <xdr:colOff>419100</xdr:colOff>
      <xdr:row>29</xdr:row>
      <xdr:rowOff>0</xdr:rowOff>
    </xdr:to>
    <xdr:sp macro="" textlink="">
      <xdr:nvSpPr>
        <xdr:cNvPr id="2" name="Retângulo 1"/>
        <xdr:cNvSpPr/>
      </xdr:nvSpPr>
      <xdr:spPr>
        <a:xfrm>
          <a:off x="666750" y="3838575"/>
          <a:ext cx="10115550" cy="1733550"/>
        </a:xfrm>
        <a:prstGeom prst="rect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pt-BR" sz="1100"/>
        </a:p>
      </xdr:txBody>
    </xdr:sp>
    <xdr:clientData/>
  </xdr:twoCellAnchor>
  <xdr:oneCellAnchor>
    <xdr:from>
      <xdr:col>1</xdr:col>
      <xdr:colOff>304800</xdr:colOff>
      <xdr:row>20</xdr:row>
      <xdr:rowOff>0</xdr:rowOff>
    </xdr:from>
    <xdr:ext cx="7905750" cy="1595052"/>
    <xdr:sp macro="" textlink="">
      <xdr:nvSpPr>
        <xdr:cNvPr id="3" name="CaixaDeTexto 2"/>
        <xdr:cNvSpPr txBox="1"/>
      </xdr:nvSpPr>
      <xdr:spPr>
        <a:xfrm>
          <a:off x="914400" y="3857625"/>
          <a:ext cx="7905750" cy="159505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pt-BR" sz="1600">
              <a:solidFill>
                <a:schemeClr val="bg1"/>
              </a:solidFill>
            </a:rPr>
            <a:t>Durval</a:t>
          </a:r>
          <a:r>
            <a:rPr lang="pt-BR" sz="1600" baseline="0">
              <a:solidFill>
                <a:schemeClr val="bg1"/>
              </a:solidFill>
            </a:rPr>
            <a:t> Júnior </a:t>
          </a:r>
          <a:r>
            <a:rPr lang="pt-BR" sz="1600" baseline="0"/>
            <a:t>; </a:t>
          </a:r>
          <a:r>
            <a:rPr lang="pt-BR" sz="1600" i="1" baseline="0"/>
            <a:t>Autor e desenvolvedor de programa em  Excel e programador em  </a:t>
          </a:r>
          <a:r>
            <a:rPr lang="pt-BR" sz="1600" b="1" i="1" baseline="0"/>
            <a:t>VBA</a:t>
          </a:r>
          <a:r>
            <a:rPr lang="pt-BR" sz="1600" i="1" baseline="0"/>
            <a:t> e </a:t>
          </a:r>
          <a:r>
            <a:rPr lang="pt-BR" sz="1600" b="1" i="1" baseline="0"/>
            <a:t>MACROS.</a:t>
          </a:r>
        </a:p>
        <a:p>
          <a:endParaRPr lang="pt-BR" sz="1600" b="1" baseline="0"/>
        </a:p>
        <a:p>
          <a:r>
            <a:rPr lang="pt-BR" sz="1600" b="1" baseline="0"/>
            <a:t>Contato</a:t>
          </a:r>
          <a:endParaRPr lang="pt-BR" sz="1600" baseline="0"/>
        </a:p>
        <a:p>
          <a:r>
            <a:rPr lang="pt-BR" sz="1600" b="1" baseline="0"/>
            <a:t>Tel: </a:t>
          </a:r>
          <a:r>
            <a:rPr lang="pt-BR" sz="1600" baseline="0">
              <a:solidFill>
                <a:schemeClr val="bg2"/>
              </a:solidFill>
            </a:rPr>
            <a:t>(77) 8116-6423</a:t>
          </a:r>
        </a:p>
        <a:p>
          <a:r>
            <a:rPr lang="pt-BR" sz="1600" b="1" i="0"/>
            <a:t>E-mail:</a:t>
          </a:r>
          <a:r>
            <a:rPr lang="pt-BR" sz="1600" b="1" i="0" baseline="0"/>
            <a:t> </a:t>
          </a:r>
          <a:r>
            <a:rPr lang="pt-BR" sz="1600" baseline="0">
              <a:solidFill>
                <a:schemeClr val="bg2"/>
              </a:solidFill>
            </a:rPr>
            <a:t>juniossborges@gmail.com</a:t>
          </a:r>
          <a:endParaRPr lang="pt-BR" sz="1600">
            <a:solidFill>
              <a:schemeClr val="bg2"/>
            </a:solidFill>
          </a:endParaRPr>
        </a:p>
      </xdr:txBody>
    </xdr:sp>
    <xdr:clientData/>
  </xdr:oneCellAnchor>
  <xdr:twoCellAnchor>
    <xdr:from>
      <xdr:col>9</xdr:col>
      <xdr:colOff>0</xdr:colOff>
      <xdr:row>3</xdr:row>
      <xdr:rowOff>0</xdr:rowOff>
    </xdr:from>
    <xdr:to>
      <xdr:col>10</xdr:col>
      <xdr:colOff>381000</xdr:colOff>
      <xdr:row>4</xdr:row>
      <xdr:rowOff>200026</xdr:rowOff>
    </xdr:to>
    <xdr:sp macro="[0]!Menu" textlink="">
      <xdr:nvSpPr>
        <xdr:cNvPr id="4" name="Retângulo de cantos arredondados 3"/>
        <xdr:cNvSpPr/>
      </xdr:nvSpPr>
      <xdr:spPr>
        <a:xfrm>
          <a:off x="5486400" y="571500"/>
          <a:ext cx="990600" cy="390526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pt-BR" sz="2400"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a:rPr>
            <a:t>Menu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S19"/>
  <sheetViews>
    <sheetView showGridLines="0" showRowColHeaders="0" tabSelected="1" workbookViewId="0">
      <pane ySplit="64" topLeftCell="A65" activePane="bottomLeft" state="frozen"/>
      <selection pane="bottomLeft" activeCell="I22" sqref="I22"/>
    </sheetView>
  </sheetViews>
  <sheetFormatPr defaultRowHeight="15" x14ac:dyDescent="0.25"/>
  <cols>
    <col min="1" max="16384" width="9.140625" style="59"/>
  </cols>
  <sheetData>
    <row r="1" spans="2:19" s="128" customFormat="1" x14ac:dyDescent="0.25"/>
    <row r="2" spans="2:19" x14ac:dyDescent="0.25">
      <c r="F2" s="129"/>
      <c r="G2" s="129"/>
      <c r="H2" s="129"/>
      <c r="I2" s="129"/>
      <c r="J2" s="129"/>
      <c r="K2" s="129"/>
      <c r="L2" s="129"/>
      <c r="M2" s="129"/>
      <c r="N2" s="129"/>
      <c r="O2" s="129"/>
      <c r="P2" s="129"/>
      <c r="Q2" s="129"/>
      <c r="R2" s="129"/>
      <c r="S2" s="129"/>
    </row>
    <row r="3" spans="2:19" x14ac:dyDescent="0.25">
      <c r="B3" s="138"/>
      <c r="C3" s="138"/>
      <c r="D3" s="138"/>
      <c r="E3" s="130"/>
      <c r="F3" s="147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9"/>
    </row>
    <row r="4" spans="2:19" x14ac:dyDescent="0.25">
      <c r="B4" s="138"/>
      <c r="C4" s="138"/>
      <c r="D4" s="138"/>
      <c r="E4" s="130"/>
      <c r="F4" s="141"/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3"/>
    </row>
    <row r="5" spans="2:19" x14ac:dyDescent="0.25">
      <c r="B5" s="138"/>
      <c r="C5" s="138"/>
      <c r="D5" s="138"/>
      <c r="E5" s="130"/>
      <c r="F5" s="141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3"/>
    </row>
    <row r="6" spans="2:19" x14ac:dyDescent="0.25">
      <c r="B6" s="138"/>
      <c r="C6" s="138"/>
      <c r="D6" s="138"/>
      <c r="E6" s="130"/>
      <c r="F6" s="141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3"/>
    </row>
    <row r="7" spans="2:19" x14ac:dyDescent="0.25">
      <c r="B7" s="138"/>
      <c r="C7" s="138"/>
      <c r="D7" s="138"/>
      <c r="E7" s="130"/>
      <c r="F7" s="141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3"/>
    </row>
    <row r="8" spans="2:19" x14ac:dyDescent="0.25">
      <c r="B8" s="138"/>
      <c r="C8" s="138"/>
      <c r="D8" s="138"/>
      <c r="E8" s="130"/>
      <c r="F8" s="141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3"/>
    </row>
    <row r="9" spans="2:19" x14ac:dyDescent="0.25">
      <c r="B9" s="138"/>
      <c r="C9" s="138"/>
      <c r="D9" s="138"/>
      <c r="E9" s="130"/>
      <c r="F9" s="141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3"/>
    </row>
    <row r="10" spans="2:19" ht="15" customHeight="1" x14ac:dyDescent="0.25">
      <c r="B10" s="138"/>
      <c r="C10" s="138"/>
      <c r="D10" s="138"/>
      <c r="E10" s="130"/>
      <c r="F10" s="131"/>
      <c r="G10" s="140" t="s">
        <v>64</v>
      </c>
      <c r="H10" s="140"/>
      <c r="I10" s="139">
        <f ca="1">TODAY()</f>
        <v>42012</v>
      </c>
      <c r="J10" s="139"/>
      <c r="K10" s="139"/>
      <c r="L10" s="139"/>
      <c r="M10" s="139"/>
      <c r="N10" s="139"/>
      <c r="O10" s="139"/>
      <c r="P10" s="139"/>
      <c r="Q10" s="139"/>
      <c r="R10" s="139"/>
      <c r="S10" s="132"/>
    </row>
    <row r="11" spans="2:19" ht="15" customHeight="1" x14ac:dyDescent="0.25">
      <c r="B11" s="138"/>
      <c r="C11" s="138"/>
      <c r="D11" s="138"/>
      <c r="E11" s="130"/>
      <c r="F11" s="131"/>
      <c r="G11" s="140"/>
      <c r="H11" s="140"/>
      <c r="I11" s="139"/>
      <c r="J11" s="139"/>
      <c r="K11" s="139"/>
      <c r="L11" s="139"/>
      <c r="M11" s="139"/>
      <c r="N11" s="139"/>
      <c r="O11" s="139"/>
      <c r="P11" s="139"/>
      <c r="Q11" s="139"/>
      <c r="R11" s="139"/>
      <c r="S11" s="132"/>
    </row>
    <row r="12" spans="2:19" ht="15" customHeight="1" x14ac:dyDescent="0.25">
      <c r="B12" s="138"/>
      <c r="C12" s="138"/>
      <c r="D12" s="138"/>
      <c r="E12" s="130"/>
      <c r="F12" s="131"/>
      <c r="G12" s="140"/>
      <c r="H12" s="140"/>
      <c r="I12" s="139"/>
      <c r="J12" s="139"/>
      <c r="K12" s="139"/>
      <c r="L12" s="139"/>
      <c r="M12" s="139"/>
      <c r="N12" s="139"/>
      <c r="O12" s="139"/>
      <c r="P12" s="139"/>
      <c r="Q12" s="139"/>
      <c r="R12" s="139"/>
      <c r="S12" s="132"/>
    </row>
    <row r="13" spans="2:19" x14ac:dyDescent="0.25">
      <c r="B13" s="138"/>
      <c r="C13" s="138"/>
      <c r="D13" s="138"/>
      <c r="E13" s="130"/>
      <c r="F13" s="141"/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3"/>
    </row>
    <row r="14" spans="2:19" x14ac:dyDescent="0.25">
      <c r="B14" s="138"/>
      <c r="C14" s="138"/>
      <c r="D14" s="138"/>
      <c r="E14" s="130"/>
      <c r="F14" s="141"/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3"/>
    </row>
    <row r="15" spans="2:19" x14ac:dyDescent="0.25">
      <c r="B15" s="138"/>
      <c r="C15" s="138"/>
      <c r="D15" s="138"/>
      <c r="E15" s="130"/>
      <c r="F15" s="141"/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3"/>
    </row>
    <row r="16" spans="2:19" x14ac:dyDescent="0.25">
      <c r="B16" s="138"/>
      <c r="C16" s="138"/>
      <c r="D16" s="138"/>
      <c r="E16" s="130"/>
      <c r="F16" s="144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6"/>
    </row>
    <row r="19" spans="16:16" x14ac:dyDescent="0.25">
      <c r="P19" s="133"/>
    </row>
  </sheetData>
  <sheetProtection selectLockedCells="1"/>
  <mergeCells count="5">
    <mergeCell ref="B3:D16"/>
    <mergeCell ref="I10:R12"/>
    <mergeCell ref="G10:H12"/>
    <mergeCell ref="F13:S16"/>
    <mergeCell ref="F3:S9"/>
  </mergeCells>
  <phoneticPr fontId="0" type="noConversion"/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B1:M26"/>
  <sheetViews>
    <sheetView showGridLines="0" showRowColHeaders="0" workbookViewId="0">
      <pane ySplit="20" topLeftCell="A21" activePane="bottomLeft" state="frozen"/>
      <selection pane="bottomLeft" activeCell="I3" sqref="I3:J3"/>
    </sheetView>
  </sheetViews>
  <sheetFormatPr defaultRowHeight="15" x14ac:dyDescent="0.25"/>
  <cols>
    <col min="1" max="1" width="9.140625" style="1"/>
    <col min="2" max="2" width="15.85546875" style="1" customWidth="1"/>
    <col min="3" max="3" width="10.140625" style="1" customWidth="1"/>
    <col min="4" max="4" width="35" style="1" customWidth="1"/>
    <col min="5" max="5" width="16.140625" style="1" customWidth="1"/>
    <col min="6" max="7" width="9.140625" style="1"/>
    <col min="8" max="8" width="10.28515625" style="1" customWidth="1"/>
    <col min="9" max="9" width="10.140625" style="1" customWidth="1"/>
    <col min="10" max="10" width="8" style="1" customWidth="1"/>
    <col min="11" max="11" width="9.140625" style="1"/>
    <col min="12" max="12" width="12.5703125" style="1" customWidth="1"/>
    <col min="13" max="16384" width="9.140625" style="1"/>
  </cols>
  <sheetData>
    <row r="1" spans="2:13" ht="12" hidden="1" customHeight="1" x14ac:dyDescent="0.25">
      <c r="B1" s="124"/>
      <c r="C1" s="124"/>
      <c r="D1" s="125"/>
      <c r="E1" s="126"/>
    </row>
    <row r="2" spans="2:13" x14ac:dyDescent="0.25">
      <c r="B2" s="2"/>
      <c r="C2" s="2"/>
      <c r="D2" s="2"/>
      <c r="E2" s="2"/>
    </row>
    <row r="3" spans="2:13" x14ac:dyDescent="0.25">
      <c r="B3" s="2"/>
      <c r="C3" s="2"/>
      <c r="D3" s="2"/>
      <c r="E3" s="2"/>
      <c r="H3" s="55" t="s">
        <v>7</v>
      </c>
      <c r="I3" s="150" t="s">
        <v>33</v>
      </c>
      <c r="J3" s="151"/>
      <c r="K3" s="56" t="s">
        <v>8</v>
      </c>
      <c r="L3" s="121" t="str">
        <f>IFERROR(VLOOKUP($I$3,$B$9:$E$26,2,0),"-")</f>
        <v>-</v>
      </c>
      <c r="M3" s="18"/>
    </row>
    <row r="4" spans="2:13" x14ac:dyDescent="0.25">
      <c r="H4" s="55"/>
      <c r="I4" s="5"/>
      <c r="L4" s="16"/>
    </row>
    <row r="5" spans="2:13" x14ac:dyDescent="0.25">
      <c r="B5" s="6"/>
      <c r="C5" s="7"/>
      <c r="D5" s="7"/>
      <c r="E5" s="19"/>
      <c r="H5" s="55" t="s">
        <v>4</v>
      </c>
      <c r="I5" s="152" t="str">
        <f>IFERROR(VLOOKUP($I$3,$B$9:$E$26,3,0),"-")</f>
        <v>-</v>
      </c>
      <c r="J5" s="153"/>
      <c r="K5" s="153"/>
      <c r="L5" s="153"/>
      <c r="M5" s="18"/>
    </row>
    <row r="6" spans="2:13" x14ac:dyDescent="0.25">
      <c r="B6" s="4"/>
      <c r="C6" s="2"/>
      <c r="D6" s="2"/>
      <c r="E6" s="2"/>
      <c r="F6" s="18"/>
      <c r="H6" s="55"/>
    </row>
    <row r="7" spans="2:13" x14ac:dyDescent="0.25">
      <c r="B7" s="15"/>
      <c r="C7" s="2"/>
      <c r="D7" s="17"/>
      <c r="E7" s="17"/>
      <c r="F7" s="18"/>
      <c r="H7" s="55" t="s">
        <v>1</v>
      </c>
      <c r="I7" s="122" t="str">
        <f>IFERROR(VLOOKUP($I$3,$B$9:$E$26,4,0),"-")</f>
        <v>-</v>
      </c>
    </row>
    <row r="8" spans="2:13" x14ac:dyDescent="0.25">
      <c r="C8" s="16"/>
    </row>
    <row r="9" spans="2:13" ht="15" customHeight="1" x14ac:dyDescent="0.25">
      <c r="B9" s="54" t="s">
        <v>5</v>
      </c>
      <c r="C9" s="54" t="s">
        <v>19</v>
      </c>
      <c r="D9" s="54" t="s">
        <v>6</v>
      </c>
      <c r="E9" s="54" t="s">
        <v>1</v>
      </c>
    </row>
    <row r="10" spans="2:13" hidden="1" x14ac:dyDescent="0.25"/>
    <row r="11" spans="2:13" hidden="1" x14ac:dyDescent="0.25"/>
    <row r="12" spans="2:13" hidden="1" x14ac:dyDescent="0.25"/>
    <row r="13" spans="2:13" hidden="1" x14ac:dyDescent="0.25"/>
    <row r="14" spans="2:13" hidden="1" x14ac:dyDescent="0.25"/>
    <row r="15" spans="2:13" hidden="1" x14ac:dyDescent="0.25"/>
    <row r="16" spans="2:13" hidden="1" x14ac:dyDescent="0.25"/>
    <row r="17" spans="2:5" hidden="1" x14ac:dyDescent="0.25"/>
    <row r="18" spans="2:5" hidden="1" x14ac:dyDescent="0.25"/>
    <row r="19" spans="2:5" hidden="1" x14ac:dyDescent="0.25"/>
    <row r="20" spans="2:5" hidden="1" x14ac:dyDescent="0.25"/>
    <row r="21" spans="2:5" x14ac:dyDescent="0.25">
      <c r="B21" s="125" t="s">
        <v>17</v>
      </c>
      <c r="C21" s="124">
        <v>1</v>
      </c>
      <c r="D21" s="125" t="s">
        <v>18</v>
      </c>
      <c r="E21" s="126">
        <v>13</v>
      </c>
    </row>
    <row r="22" spans="2:5" x14ac:dyDescent="0.25">
      <c r="B22" s="125" t="s">
        <v>15</v>
      </c>
      <c r="C22" s="124">
        <v>2</v>
      </c>
      <c r="D22" s="125" t="s">
        <v>16</v>
      </c>
      <c r="E22" s="126">
        <v>63</v>
      </c>
    </row>
    <row r="23" spans="2:5" x14ac:dyDescent="0.25">
      <c r="B23" s="125" t="s">
        <v>13</v>
      </c>
      <c r="C23" s="124">
        <v>3</v>
      </c>
      <c r="D23" s="125" t="s">
        <v>14</v>
      </c>
      <c r="E23" s="126">
        <v>19</v>
      </c>
    </row>
    <row r="24" spans="2:5" x14ac:dyDescent="0.25">
      <c r="B24" s="125" t="s">
        <v>12</v>
      </c>
      <c r="C24" s="124">
        <v>4</v>
      </c>
      <c r="D24" s="125" t="s">
        <v>32</v>
      </c>
      <c r="E24" s="126">
        <v>68</v>
      </c>
    </row>
    <row r="25" spans="2:5" x14ac:dyDescent="0.25">
      <c r="B25" s="125" t="s">
        <v>0</v>
      </c>
      <c r="C25" s="124">
        <v>5</v>
      </c>
      <c r="D25" s="125" t="s">
        <v>11</v>
      </c>
      <c r="E25" s="126">
        <v>78</v>
      </c>
    </row>
    <row r="26" spans="2:5" x14ac:dyDescent="0.25">
      <c r="B26" s="125" t="s">
        <v>9</v>
      </c>
      <c r="C26" s="124">
        <v>6</v>
      </c>
      <c r="D26" s="125" t="s">
        <v>10</v>
      </c>
      <c r="E26" s="126">
        <v>73</v>
      </c>
    </row>
  </sheetData>
  <autoFilter ref="B9:E9"/>
  <mergeCells count="2">
    <mergeCell ref="I3:J3"/>
    <mergeCell ref="I5:L5"/>
  </mergeCells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1:F19"/>
  <sheetViews>
    <sheetView showGridLines="0" showRowColHeaders="0" workbookViewId="0">
      <pane ySplit="77" topLeftCell="A84" activePane="bottomLeft" state="frozen"/>
      <selection pane="bottomLeft" activeCell="D25" sqref="D25"/>
    </sheetView>
  </sheetViews>
  <sheetFormatPr defaultRowHeight="15" x14ac:dyDescent="0.25"/>
  <cols>
    <col min="1" max="1" width="9.140625" style="1"/>
    <col min="2" max="2" width="21.140625" style="1" customWidth="1"/>
    <col min="3" max="3" width="3.42578125" style="1" hidden="1" customWidth="1"/>
    <col min="4" max="4" width="28.140625" style="1" customWidth="1"/>
    <col min="5" max="5" width="31.42578125" style="1" customWidth="1"/>
    <col min="6" max="6" width="18.5703125" style="1" customWidth="1"/>
    <col min="7" max="16384" width="9.140625" style="1"/>
  </cols>
  <sheetData>
    <row r="1" spans="2:6" s="31" customFormat="1" x14ac:dyDescent="0.25"/>
    <row r="4" spans="2:6" ht="15.75" x14ac:dyDescent="0.25">
      <c r="B4" s="92" t="s">
        <v>48</v>
      </c>
      <c r="C4" s="93"/>
      <c r="D4" s="92" t="s">
        <v>49</v>
      </c>
      <c r="E4" s="92" t="s">
        <v>50</v>
      </c>
      <c r="F4" s="92" t="s">
        <v>35</v>
      </c>
    </row>
    <row r="5" spans="2:6" ht="15.75" x14ac:dyDescent="0.25">
      <c r="B5" s="86" t="s">
        <v>66</v>
      </c>
      <c r="C5" s="89"/>
      <c r="D5" s="83">
        <f>Embeu!Q19</f>
        <v>0</v>
      </c>
      <c r="E5" s="84">
        <f>Embeu!P17</f>
        <v>0</v>
      </c>
      <c r="F5" s="85">
        <f>Embeu!K19</f>
        <v>0</v>
      </c>
    </row>
    <row r="6" spans="2:6" ht="15.75" x14ac:dyDescent="0.25">
      <c r="B6" s="86" t="s">
        <v>36</v>
      </c>
      <c r="C6" s="89"/>
      <c r="D6" s="83">
        <f>'Coca Cola'!Q19</f>
        <v>0</v>
      </c>
      <c r="E6" s="84">
        <f>'Coca Cola'!P17</f>
        <v>0</v>
      </c>
      <c r="F6" s="85">
        <f>'Coca Cola'!K19</f>
        <v>0</v>
      </c>
    </row>
    <row r="7" spans="2:6" ht="15.75" x14ac:dyDescent="0.25">
      <c r="B7" s="86" t="s">
        <v>37</v>
      </c>
      <c r="C7" s="89"/>
      <c r="D7" s="83">
        <f>'Nova Skin'!Q19</f>
        <v>0</v>
      </c>
      <c r="E7" s="84">
        <f>'Nova Skin'!P17</f>
        <v>0</v>
      </c>
      <c r="F7" s="85">
        <f>'Nova Skin'!K19</f>
        <v>0</v>
      </c>
    </row>
    <row r="8" spans="2:6" ht="15.75" x14ac:dyDescent="0.25">
      <c r="B8" s="86" t="s">
        <v>38</v>
      </c>
      <c r="C8" s="89"/>
      <c r="D8" s="83">
        <f>Novo1!Q19</f>
        <v>0</v>
      </c>
      <c r="E8" s="84">
        <f>Novo1!P17</f>
        <v>0</v>
      </c>
      <c r="F8" s="85">
        <f>Novo1!K19</f>
        <v>0</v>
      </c>
    </row>
    <row r="9" spans="2:6" ht="15.75" x14ac:dyDescent="0.25">
      <c r="B9" s="86" t="s">
        <v>39</v>
      </c>
      <c r="C9" s="89"/>
      <c r="D9" s="83">
        <f>Novo2!Q19</f>
        <v>0</v>
      </c>
      <c r="E9" s="84">
        <f>Novo2!P17</f>
        <v>0</v>
      </c>
      <c r="F9" s="85">
        <f>Novo2!K19</f>
        <v>0</v>
      </c>
    </row>
    <row r="10" spans="2:6" ht="15.75" x14ac:dyDescent="0.25">
      <c r="B10" s="86" t="s">
        <v>40</v>
      </c>
      <c r="C10" s="89"/>
      <c r="D10" s="83">
        <f>Novo3!Q19</f>
        <v>0</v>
      </c>
      <c r="E10" s="84">
        <f>Novo3!P17</f>
        <v>0</v>
      </c>
      <c r="F10" s="85">
        <f>Novo3!K19</f>
        <v>0</v>
      </c>
    </row>
    <row r="11" spans="2:6" ht="15.75" x14ac:dyDescent="0.25">
      <c r="B11" s="86" t="s">
        <v>41</v>
      </c>
      <c r="C11" s="89"/>
      <c r="D11" s="83">
        <f>Novo4!Q19</f>
        <v>0</v>
      </c>
      <c r="E11" s="84">
        <f>Novo4!P17</f>
        <v>0</v>
      </c>
      <c r="F11" s="85">
        <f>Novo4!K19</f>
        <v>0</v>
      </c>
    </row>
    <row r="12" spans="2:6" ht="15.75" x14ac:dyDescent="0.25">
      <c r="B12" s="86" t="s">
        <v>42</v>
      </c>
      <c r="C12" s="89"/>
      <c r="D12" s="83">
        <f>Novo5!Q19</f>
        <v>0</v>
      </c>
      <c r="E12" s="84">
        <f>Novo5!P17</f>
        <v>0</v>
      </c>
      <c r="F12" s="85">
        <f>Novo5!K19</f>
        <v>0</v>
      </c>
    </row>
    <row r="13" spans="2:6" ht="15.75" x14ac:dyDescent="0.25">
      <c r="B13" s="86" t="s">
        <v>43</v>
      </c>
      <c r="C13" s="89"/>
      <c r="D13" s="83">
        <f>Novo6!Q19</f>
        <v>0</v>
      </c>
      <c r="E13" s="84">
        <f>Novo6!P17</f>
        <v>0</v>
      </c>
      <c r="F13" s="85">
        <f>Novo6!K19</f>
        <v>0</v>
      </c>
    </row>
    <row r="14" spans="2:6" ht="15.75" x14ac:dyDescent="0.25">
      <c r="B14" s="86" t="s">
        <v>44</v>
      </c>
      <c r="C14" s="89"/>
      <c r="D14" s="83">
        <f>Novo7!Q19</f>
        <v>0</v>
      </c>
      <c r="E14" s="84">
        <f>Novo7!P17</f>
        <v>0</v>
      </c>
      <c r="F14" s="85">
        <f>Novo7!K19</f>
        <v>0</v>
      </c>
    </row>
    <row r="15" spans="2:6" ht="15.75" x14ac:dyDescent="0.25">
      <c r="B15" s="86" t="s">
        <v>45</v>
      </c>
      <c r="C15" s="89"/>
      <c r="D15" s="83">
        <f>Novo8!Q19</f>
        <v>0</v>
      </c>
      <c r="E15" s="84">
        <f>Novo8!P17</f>
        <v>0</v>
      </c>
      <c r="F15" s="85">
        <f>Novo8!K19</f>
        <v>0</v>
      </c>
    </row>
    <row r="16" spans="2:6" ht="15.75" x14ac:dyDescent="0.25">
      <c r="B16" s="86" t="s">
        <v>46</v>
      </c>
      <c r="C16" s="89"/>
      <c r="D16" s="83">
        <f>Novo9!Q19</f>
        <v>0</v>
      </c>
      <c r="E16" s="84">
        <f>Novo9!P17</f>
        <v>0</v>
      </c>
      <c r="F16" s="85">
        <f>Novo9!K19</f>
        <v>0</v>
      </c>
    </row>
    <row r="17" spans="2:6" ht="15.75" x14ac:dyDescent="0.25">
      <c r="B17" s="86" t="s">
        <v>47</v>
      </c>
      <c r="C17" s="89"/>
      <c r="D17" s="83">
        <f>Novo10!Q19</f>
        <v>0</v>
      </c>
      <c r="E17" s="84">
        <f>Novo10!P17</f>
        <v>0</v>
      </c>
      <c r="F17" s="90">
        <f>Novo10!K19</f>
        <v>0</v>
      </c>
    </row>
    <row r="19" spans="2:6" x14ac:dyDescent="0.25">
      <c r="E19" s="91" t="s">
        <v>51</v>
      </c>
      <c r="F19" s="87">
        <f>SUM(F5:F18)</f>
        <v>0</v>
      </c>
    </row>
  </sheetData>
  <autoFilter ref="B4:E4"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C1:C21"/>
  <sheetViews>
    <sheetView showGridLines="0" showRowColHeaders="0" workbookViewId="0">
      <pane ySplit="52" topLeftCell="A53" activePane="bottomLeft" state="frozen"/>
      <selection pane="bottomLeft" activeCell="D10" sqref="D10"/>
    </sheetView>
  </sheetViews>
  <sheetFormatPr defaultRowHeight="15" x14ac:dyDescent="0.25"/>
  <cols>
    <col min="1" max="1" width="9.140625" style="1"/>
    <col min="2" max="2" width="15.42578125" style="1" customWidth="1"/>
    <col min="3" max="3" width="19.7109375" style="1" customWidth="1"/>
    <col min="4" max="16384" width="9.140625" style="1"/>
  </cols>
  <sheetData>
    <row r="1" spans="3:3" x14ac:dyDescent="0.25">
      <c r="C1" s="43" t="s">
        <v>24</v>
      </c>
    </row>
    <row r="2" spans="3:3" x14ac:dyDescent="0.25">
      <c r="C2" s="88" t="s">
        <v>25</v>
      </c>
    </row>
    <row r="3" spans="3:3" x14ac:dyDescent="0.25">
      <c r="C3" s="78" t="s">
        <v>26</v>
      </c>
    </row>
    <row r="4" spans="3:3" x14ac:dyDescent="0.25">
      <c r="C4" s="78" t="s">
        <v>27</v>
      </c>
    </row>
    <row r="5" spans="3:3" x14ac:dyDescent="0.25">
      <c r="C5" s="78" t="s">
        <v>28</v>
      </c>
    </row>
    <row r="6" spans="3:3" x14ac:dyDescent="0.25">
      <c r="C6" s="78" t="s">
        <v>29</v>
      </c>
    </row>
    <row r="7" spans="3:3" x14ac:dyDescent="0.25">
      <c r="C7" s="78" t="s">
        <v>30</v>
      </c>
    </row>
    <row r="8" spans="3:3" x14ac:dyDescent="0.25">
      <c r="C8" s="78" t="s">
        <v>31</v>
      </c>
    </row>
    <row r="9" spans="3:3" x14ac:dyDescent="0.25">
      <c r="C9" s="78" t="s">
        <v>52</v>
      </c>
    </row>
    <row r="10" spans="3:3" x14ac:dyDescent="0.25">
      <c r="C10" s="78" t="s">
        <v>53</v>
      </c>
    </row>
    <row r="11" spans="3:3" x14ac:dyDescent="0.25">
      <c r="C11" s="78"/>
    </row>
    <row r="12" spans="3:3" x14ac:dyDescent="0.25">
      <c r="C12" s="78"/>
    </row>
    <row r="13" spans="3:3" x14ac:dyDescent="0.25">
      <c r="C13" s="78"/>
    </row>
    <row r="14" spans="3:3" x14ac:dyDescent="0.25">
      <c r="C14" s="78"/>
    </row>
    <row r="15" spans="3:3" x14ac:dyDescent="0.25">
      <c r="C15" s="78"/>
    </row>
    <row r="16" spans="3:3" x14ac:dyDescent="0.25">
      <c r="C16" s="78"/>
    </row>
    <row r="17" spans="3:3" x14ac:dyDescent="0.25">
      <c r="C17" s="78"/>
    </row>
    <row r="18" spans="3:3" hidden="1" x14ac:dyDescent="0.25">
      <c r="C18" s="78"/>
    </row>
    <row r="19" spans="3:3" x14ac:dyDescent="0.25">
      <c r="C19" s="78"/>
    </row>
    <row r="20" spans="3:3" x14ac:dyDescent="0.25">
      <c r="C20" s="78"/>
    </row>
    <row r="21" spans="3:3" x14ac:dyDescent="0.25">
      <c r="C21" s="79"/>
    </row>
  </sheetData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R20"/>
  <sheetViews>
    <sheetView showGridLines="0" showRowColHeaders="0" topLeftCell="B1" zoomScaleNormal="100" workbookViewId="0">
      <pane ySplit="144" topLeftCell="A145" activePane="bottomLeft" state="frozen"/>
      <selection pane="bottomLeft" activeCell="B4" sqref="B4:R20"/>
    </sheetView>
  </sheetViews>
  <sheetFormatPr defaultRowHeight="15" x14ac:dyDescent="0.25"/>
  <cols>
    <col min="1" max="1" width="5.85546875" style="1" customWidth="1"/>
    <col min="2" max="2" width="21.42578125" style="1" customWidth="1"/>
    <col min="3" max="3" width="6.85546875" style="1" customWidth="1"/>
    <col min="4" max="4" width="9.140625" style="1"/>
    <col min="5" max="5" width="12.7109375" style="1" customWidth="1"/>
    <col min="6" max="16384" width="9.140625" style="1"/>
  </cols>
  <sheetData>
    <row r="1" spans="1:18" s="31" customFormat="1" x14ac:dyDescent="0.25">
      <c r="B1" s="163" t="s">
        <v>34</v>
      </c>
      <c r="C1" s="163"/>
      <c r="D1" s="163"/>
      <c r="E1" s="163"/>
    </row>
    <row r="2" spans="1:18" s="31" customFormat="1" x14ac:dyDescent="0.25">
      <c r="B2" s="163"/>
      <c r="C2" s="163"/>
      <c r="D2" s="163"/>
      <c r="E2" s="163"/>
    </row>
    <row r="3" spans="1:18" x14ac:dyDescent="0.25"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</row>
    <row r="4" spans="1:18" x14ac:dyDescent="0.25">
      <c r="A4" s="77"/>
      <c r="B4" s="154"/>
      <c r="C4" s="155"/>
      <c r="D4" s="155"/>
      <c r="E4" s="155"/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5"/>
      <c r="R4" s="156"/>
    </row>
    <row r="5" spans="1:18" x14ac:dyDescent="0.25">
      <c r="A5" s="77"/>
      <c r="B5" s="157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9"/>
    </row>
    <row r="6" spans="1:18" x14ac:dyDescent="0.25">
      <c r="A6" s="77"/>
      <c r="B6" s="157"/>
      <c r="C6" s="158"/>
      <c r="D6" s="158"/>
      <c r="E6" s="158"/>
      <c r="F6" s="158"/>
      <c r="G6" s="158"/>
      <c r="H6" s="158"/>
      <c r="I6" s="158"/>
      <c r="J6" s="158"/>
      <c r="K6" s="158"/>
      <c r="L6" s="158"/>
      <c r="M6" s="158"/>
      <c r="N6" s="158"/>
      <c r="O6" s="158"/>
      <c r="P6" s="158"/>
      <c r="Q6" s="158"/>
      <c r="R6" s="159"/>
    </row>
    <row r="7" spans="1:18" x14ac:dyDescent="0.25">
      <c r="A7" s="77"/>
      <c r="B7" s="157"/>
      <c r="C7" s="158"/>
      <c r="D7" s="158"/>
      <c r="E7" s="158"/>
      <c r="F7" s="158"/>
      <c r="G7" s="158"/>
      <c r="H7" s="158"/>
      <c r="I7" s="158"/>
      <c r="J7" s="158"/>
      <c r="K7" s="158"/>
      <c r="L7" s="158"/>
      <c r="M7" s="158"/>
      <c r="N7" s="158"/>
      <c r="O7" s="158"/>
      <c r="P7" s="158"/>
      <c r="Q7" s="158"/>
      <c r="R7" s="159"/>
    </row>
    <row r="8" spans="1:18" x14ac:dyDescent="0.25">
      <c r="A8" s="77"/>
      <c r="B8" s="157"/>
      <c r="C8" s="158"/>
      <c r="D8" s="158"/>
      <c r="E8" s="158"/>
      <c r="F8" s="158"/>
      <c r="G8" s="158"/>
      <c r="H8" s="158"/>
      <c r="I8" s="158"/>
      <c r="J8" s="158"/>
      <c r="K8" s="158"/>
      <c r="L8" s="158"/>
      <c r="M8" s="158"/>
      <c r="N8" s="158"/>
      <c r="O8" s="158"/>
      <c r="P8" s="158"/>
      <c r="Q8" s="158"/>
      <c r="R8" s="159"/>
    </row>
    <row r="9" spans="1:18" x14ac:dyDescent="0.25">
      <c r="A9" s="77"/>
      <c r="B9" s="157"/>
      <c r="C9" s="158"/>
      <c r="D9" s="158"/>
      <c r="E9" s="158"/>
      <c r="F9" s="158"/>
      <c r="G9" s="158"/>
      <c r="H9" s="158"/>
      <c r="I9" s="158"/>
      <c r="J9" s="158"/>
      <c r="K9" s="158"/>
      <c r="L9" s="158"/>
      <c r="M9" s="158"/>
      <c r="N9" s="158"/>
      <c r="O9" s="158"/>
      <c r="P9" s="158"/>
      <c r="Q9" s="158"/>
      <c r="R9" s="159"/>
    </row>
    <row r="10" spans="1:18" x14ac:dyDescent="0.25">
      <c r="A10" s="77"/>
      <c r="B10" s="157"/>
      <c r="C10" s="158"/>
      <c r="D10" s="158"/>
      <c r="E10" s="158"/>
      <c r="F10" s="158"/>
      <c r="G10" s="158"/>
      <c r="H10" s="158"/>
      <c r="I10" s="158"/>
      <c r="J10" s="158"/>
      <c r="K10" s="158"/>
      <c r="L10" s="158"/>
      <c r="M10" s="158"/>
      <c r="N10" s="158"/>
      <c r="O10" s="158"/>
      <c r="P10" s="158"/>
      <c r="Q10" s="158"/>
      <c r="R10" s="159"/>
    </row>
    <row r="11" spans="1:18" x14ac:dyDescent="0.25">
      <c r="A11" s="77"/>
      <c r="B11" s="157"/>
      <c r="C11" s="158"/>
      <c r="D11" s="158"/>
      <c r="E11" s="158"/>
      <c r="F11" s="158"/>
      <c r="G11" s="158"/>
      <c r="H11" s="158"/>
      <c r="I11" s="158"/>
      <c r="J11" s="158"/>
      <c r="K11" s="158"/>
      <c r="L11" s="158"/>
      <c r="M11" s="158"/>
      <c r="N11" s="158"/>
      <c r="O11" s="158"/>
      <c r="P11" s="158"/>
      <c r="Q11" s="158"/>
      <c r="R11" s="159"/>
    </row>
    <row r="12" spans="1:18" x14ac:dyDescent="0.25">
      <c r="A12" s="77"/>
      <c r="B12" s="157"/>
      <c r="C12" s="158"/>
      <c r="D12" s="158"/>
      <c r="E12" s="158"/>
      <c r="F12" s="158"/>
      <c r="G12" s="158"/>
      <c r="H12" s="158"/>
      <c r="I12" s="158"/>
      <c r="J12" s="158"/>
      <c r="K12" s="158"/>
      <c r="L12" s="158"/>
      <c r="M12" s="158"/>
      <c r="N12" s="158"/>
      <c r="O12" s="158"/>
      <c r="P12" s="158"/>
      <c r="Q12" s="158"/>
      <c r="R12" s="159"/>
    </row>
    <row r="13" spans="1:18" x14ac:dyDescent="0.25">
      <c r="A13" s="77"/>
      <c r="B13" s="157"/>
      <c r="C13" s="158"/>
      <c r="D13" s="158"/>
      <c r="E13" s="158"/>
      <c r="F13" s="158"/>
      <c r="G13" s="158"/>
      <c r="H13" s="158"/>
      <c r="I13" s="158"/>
      <c r="J13" s="158"/>
      <c r="K13" s="158"/>
      <c r="L13" s="158"/>
      <c r="M13" s="158"/>
      <c r="N13" s="158"/>
      <c r="O13" s="158"/>
      <c r="P13" s="158"/>
      <c r="Q13" s="158"/>
      <c r="R13" s="159"/>
    </row>
    <row r="14" spans="1:18" x14ac:dyDescent="0.25">
      <c r="A14" s="77"/>
      <c r="B14" s="157"/>
      <c r="C14" s="158"/>
      <c r="D14" s="158"/>
      <c r="E14" s="158"/>
      <c r="F14" s="158"/>
      <c r="G14" s="158"/>
      <c r="H14" s="158"/>
      <c r="I14" s="158"/>
      <c r="J14" s="158"/>
      <c r="K14" s="158"/>
      <c r="L14" s="158"/>
      <c r="M14" s="158"/>
      <c r="N14" s="158"/>
      <c r="O14" s="158"/>
      <c r="P14" s="158"/>
      <c r="Q14" s="158"/>
      <c r="R14" s="159"/>
    </row>
    <row r="15" spans="1:18" x14ac:dyDescent="0.25">
      <c r="A15" s="77"/>
      <c r="B15" s="157"/>
      <c r="C15" s="158"/>
      <c r="D15" s="158"/>
      <c r="E15" s="158"/>
      <c r="F15" s="158"/>
      <c r="G15" s="158"/>
      <c r="H15" s="158"/>
      <c r="I15" s="158"/>
      <c r="J15" s="158"/>
      <c r="K15" s="158"/>
      <c r="L15" s="158"/>
      <c r="M15" s="158"/>
      <c r="N15" s="158"/>
      <c r="O15" s="158"/>
      <c r="P15" s="158"/>
      <c r="Q15" s="158"/>
      <c r="R15" s="159"/>
    </row>
    <row r="16" spans="1:18" x14ac:dyDescent="0.25">
      <c r="A16" s="77"/>
      <c r="B16" s="157"/>
      <c r="C16" s="158"/>
      <c r="D16" s="158"/>
      <c r="E16" s="158"/>
      <c r="F16" s="158"/>
      <c r="G16" s="158"/>
      <c r="H16" s="158"/>
      <c r="I16" s="158"/>
      <c r="J16" s="158"/>
      <c r="K16" s="158"/>
      <c r="L16" s="158"/>
      <c r="M16" s="158"/>
      <c r="N16" s="158"/>
      <c r="O16" s="158"/>
      <c r="P16" s="158"/>
      <c r="Q16" s="158"/>
      <c r="R16" s="159"/>
    </row>
    <row r="17" spans="1:18" x14ac:dyDescent="0.25">
      <c r="A17" s="77"/>
      <c r="B17" s="157"/>
      <c r="C17" s="158"/>
      <c r="D17" s="158"/>
      <c r="E17" s="158"/>
      <c r="F17" s="158"/>
      <c r="G17" s="158"/>
      <c r="H17" s="158"/>
      <c r="I17" s="158"/>
      <c r="J17" s="158"/>
      <c r="K17" s="158"/>
      <c r="L17" s="158"/>
      <c r="M17" s="158"/>
      <c r="N17" s="158"/>
      <c r="O17" s="158"/>
      <c r="P17" s="158"/>
      <c r="Q17" s="158"/>
      <c r="R17" s="159"/>
    </row>
    <row r="18" spans="1:18" x14ac:dyDescent="0.25">
      <c r="A18" s="77"/>
      <c r="B18" s="157"/>
      <c r="C18" s="158"/>
      <c r="D18" s="158"/>
      <c r="E18" s="158"/>
      <c r="F18" s="158"/>
      <c r="G18" s="158"/>
      <c r="H18" s="158"/>
      <c r="I18" s="158"/>
      <c r="J18" s="158"/>
      <c r="K18" s="158"/>
      <c r="L18" s="158"/>
      <c r="M18" s="158"/>
      <c r="N18" s="158"/>
      <c r="O18" s="158"/>
      <c r="P18" s="158"/>
      <c r="Q18" s="158"/>
      <c r="R18" s="159"/>
    </row>
    <row r="19" spans="1:18" x14ac:dyDescent="0.25">
      <c r="A19" s="77"/>
      <c r="B19" s="157"/>
      <c r="C19" s="158"/>
      <c r="D19" s="158"/>
      <c r="E19" s="158"/>
      <c r="F19" s="158"/>
      <c r="G19" s="158"/>
      <c r="H19" s="158"/>
      <c r="I19" s="158"/>
      <c r="J19" s="158"/>
      <c r="K19" s="158"/>
      <c r="L19" s="158"/>
      <c r="M19" s="158"/>
      <c r="N19" s="158"/>
      <c r="O19" s="158"/>
      <c r="P19" s="158"/>
      <c r="Q19" s="158"/>
      <c r="R19" s="159"/>
    </row>
    <row r="20" spans="1:18" x14ac:dyDescent="0.25">
      <c r="A20" s="77"/>
      <c r="B20" s="160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2"/>
    </row>
  </sheetData>
  <mergeCells count="2">
    <mergeCell ref="B4:R20"/>
    <mergeCell ref="B1:E2"/>
  </mergeCells>
  <phoneticPr fontId="0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R174"/>
  <sheetViews>
    <sheetView showGridLines="0" showRowColHeaders="0" workbookViewId="0">
      <pane ySplit="83" topLeftCell="A84" activePane="bottomLeft" state="frozen"/>
      <selection pane="bottomLeft" activeCell="H28" sqref="H28"/>
    </sheetView>
  </sheetViews>
  <sheetFormatPr defaultRowHeight="15" x14ac:dyDescent="0.25"/>
  <cols>
    <col min="1" max="1" width="8.28515625" style="59" customWidth="1"/>
    <col min="2" max="2" width="4" style="137" customWidth="1"/>
    <col min="3" max="3" width="13.42578125" style="59" customWidth="1"/>
    <col min="4" max="4" width="15" style="59" customWidth="1"/>
    <col min="5" max="5" width="12.140625" style="59" customWidth="1"/>
    <col min="6" max="6" width="14" style="59" customWidth="1"/>
    <col min="7" max="8" width="14.140625" style="59" customWidth="1"/>
    <col min="9" max="9" width="10.5703125" style="59" customWidth="1"/>
    <col min="10" max="10" width="4" style="59" customWidth="1"/>
    <col min="11" max="12" width="9.140625" style="59"/>
    <col min="13" max="13" width="4.140625" style="59" customWidth="1"/>
    <col min="14" max="14" width="9.140625" style="59"/>
    <col min="15" max="15" width="2.5703125" style="59" customWidth="1"/>
    <col min="16" max="16" width="9.42578125" style="59" customWidth="1"/>
    <col min="17" max="17" width="18.7109375" style="59" customWidth="1"/>
    <col min="18" max="18" width="4" style="137" customWidth="1"/>
    <col min="19" max="16384" width="9.140625" style="59"/>
  </cols>
  <sheetData>
    <row r="1" spans="1:17" x14ac:dyDescent="0.25">
      <c r="B1" s="135"/>
      <c r="C1" s="81"/>
      <c r="D1" s="81"/>
      <c r="E1" s="61"/>
      <c r="F1" s="61"/>
      <c r="G1" s="81"/>
      <c r="H1" s="81"/>
      <c r="I1" s="62"/>
      <c r="J1" s="63"/>
      <c r="K1" s="63"/>
      <c r="L1" s="63"/>
      <c r="M1" s="63"/>
      <c r="N1" s="63"/>
      <c r="O1" s="63"/>
      <c r="P1" s="63"/>
      <c r="Q1" s="63"/>
    </row>
    <row r="2" spans="1:17" x14ac:dyDescent="0.25">
      <c r="A2" s="58"/>
      <c r="B2" s="136"/>
      <c r="C2" s="96"/>
      <c r="D2" s="96"/>
      <c r="E2" s="166">
        <f ca="1">TODAY()</f>
        <v>42012</v>
      </c>
      <c r="F2" s="166"/>
      <c r="G2" s="166"/>
      <c r="H2" s="96"/>
      <c r="I2" s="96"/>
      <c r="J2" s="96"/>
      <c r="K2" s="96"/>
      <c r="L2" s="96"/>
      <c r="M2" s="96"/>
      <c r="N2" s="96"/>
      <c r="O2" s="95"/>
      <c r="P2" s="95"/>
      <c r="Q2" s="97"/>
    </row>
    <row r="3" spans="1:17" x14ac:dyDescent="0.25">
      <c r="A3" s="58"/>
      <c r="B3" s="136"/>
      <c r="C3" s="96"/>
      <c r="D3" s="96"/>
      <c r="E3" s="96"/>
      <c r="F3" s="96"/>
      <c r="G3" s="96"/>
      <c r="H3" s="96"/>
      <c r="I3" s="96"/>
      <c r="J3" s="96"/>
      <c r="K3" s="96"/>
      <c r="L3" s="96"/>
      <c r="M3" s="96"/>
      <c r="N3" s="96"/>
      <c r="O3" s="95"/>
      <c r="P3" s="95"/>
      <c r="Q3" s="97"/>
    </row>
    <row r="4" spans="1:17" x14ac:dyDescent="0.25">
      <c r="A4" s="58"/>
      <c r="B4" s="136"/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5"/>
      <c r="P4" s="95"/>
      <c r="Q4" s="97"/>
    </row>
    <row r="5" spans="1:17" x14ac:dyDescent="0.25">
      <c r="A5" s="58"/>
      <c r="B5" s="13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5"/>
      <c r="P5" s="95"/>
      <c r="Q5" s="97"/>
    </row>
    <row r="6" spans="1:17" x14ac:dyDescent="0.25">
      <c r="A6" s="58"/>
      <c r="B6" s="136"/>
      <c r="C6" s="96"/>
      <c r="D6" s="96"/>
      <c r="E6" s="96"/>
      <c r="F6" s="96"/>
      <c r="G6" s="96"/>
      <c r="H6" s="98"/>
      <c r="I6" s="99"/>
      <c r="J6" s="99"/>
      <c r="K6" s="99"/>
      <c r="L6" s="99"/>
      <c r="M6" s="99"/>
      <c r="N6" s="99"/>
      <c r="O6" s="95"/>
      <c r="P6" s="95"/>
      <c r="Q6" s="97"/>
    </row>
    <row r="7" spans="1:17" x14ac:dyDescent="0.25">
      <c r="A7" s="58"/>
      <c r="B7" s="136"/>
      <c r="C7" s="96"/>
      <c r="D7" s="96"/>
      <c r="E7" s="96"/>
      <c r="F7" s="96"/>
      <c r="G7" s="100"/>
      <c r="H7" s="101"/>
      <c r="I7" s="94"/>
      <c r="J7" s="94"/>
      <c r="K7" s="94"/>
      <c r="L7" s="94"/>
      <c r="M7" s="94"/>
      <c r="N7" s="102"/>
      <c r="O7" s="95"/>
      <c r="P7" s="95"/>
      <c r="Q7" s="97"/>
    </row>
    <row r="8" spans="1:17" x14ac:dyDescent="0.25">
      <c r="A8" s="58"/>
      <c r="B8" s="136"/>
      <c r="C8" s="96"/>
      <c r="D8" s="96"/>
      <c r="E8" s="96"/>
      <c r="F8" s="96"/>
      <c r="G8" s="100"/>
      <c r="H8" s="94"/>
      <c r="I8" s="94"/>
      <c r="J8" s="94"/>
      <c r="K8" s="94"/>
      <c r="L8" s="94"/>
      <c r="M8" s="94"/>
      <c r="N8" s="103"/>
      <c r="O8" s="95"/>
      <c r="P8" s="95"/>
      <c r="Q8" s="97"/>
    </row>
    <row r="9" spans="1:17" x14ac:dyDescent="0.25">
      <c r="A9" s="58"/>
      <c r="B9" s="136"/>
      <c r="C9" s="96"/>
      <c r="D9" s="96"/>
      <c r="E9" s="96"/>
      <c r="F9" s="96"/>
      <c r="G9" s="100"/>
      <c r="H9" s="104" t="s">
        <v>7</v>
      </c>
      <c r="I9" s="167" t="s">
        <v>33</v>
      </c>
      <c r="J9" s="168"/>
      <c r="K9" s="105" t="s">
        <v>19</v>
      </c>
      <c r="L9" s="169" t="str">
        <f>IFERROR(VLOOKUP(I9,Produtos!B9:E26,2,0),"-")</f>
        <v>-</v>
      </c>
      <c r="M9" s="170"/>
      <c r="N9" s="106"/>
      <c r="O9" s="95"/>
      <c r="P9" s="95"/>
      <c r="Q9" s="95"/>
    </row>
    <row r="10" spans="1:17" x14ac:dyDescent="0.25">
      <c r="A10" s="58"/>
      <c r="B10" s="136"/>
      <c r="C10" s="96"/>
      <c r="D10" s="96"/>
      <c r="E10" s="96"/>
      <c r="F10" s="96"/>
      <c r="G10" s="100"/>
      <c r="H10" s="104"/>
      <c r="I10" s="107"/>
      <c r="J10" s="108"/>
      <c r="K10" s="108"/>
      <c r="L10" s="108"/>
      <c r="M10" s="108"/>
      <c r="N10" s="103"/>
      <c r="O10" s="95"/>
      <c r="P10" s="95"/>
      <c r="Q10" s="95"/>
    </row>
    <row r="11" spans="1:17" x14ac:dyDescent="0.25">
      <c r="A11" s="58"/>
      <c r="B11" s="136"/>
      <c r="C11" s="96"/>
      <c r="D11" s="96"/>
      <c r="E11" s="96"/>
      <c r="F11" s="96"/>
      <c r="G11" s="100"/>
      <c r="H11" s="104" t="s">
        <v>4</v>
      </c>
      <c r="I11" s="171" t="str">
        <f>IFERROR(VLOOKUP(I9,Produtos!B9:E26,3,0),"-")</f>
        <v>-</v>
      </c>
      <c r="J11" s="172"/>
      <c r="K11" s="172"/>
      <c r="L11" s="172"/>
      <c r="M11" s="173"/>
      <c r="N11" s="106"/>
      <c r="O11" s="95"/>
      <c r="P11" s="95"/>
      <c r="Q11" s="95"/>
    </row>
    <row r="12" spans="1:17" x14ac:dyDescent="0.25">
      <c r="A12" s="58"/>
      <c r="B12" s="136"/>
      <c r="C12" s="96"/>
      <c r="D12" s="96"/>
      <c r="E12" s="96"/>
      <c r="F12" s="96"/>
      <c r="G12" s="100"/>
      <c r="H12" s="104"/>
      <c r="I12" s="107"/>
      <c r="J12" s="107"/>
      <c r="K12" s="107"/>
      <c r="L12" s="107"/>
      <c r="M12" s="107"/>
      <c r="N12" s="103"/>
      <c r="O12" s="95"/>
      <c r="P12" s="95"/>
      <c r="Q12" s="95"/>
    </row>
    <row r="13" spans="1:17" x14ac:dyDescent="0.25">
      <c r="A13" s="58"/>
      <c r="B13" s="136"/>
      <c r="C13" s="96"/>
      <c r="D13" s="96"/>
      <c r="E13" s="109" t="s">
        <v>22</v>
      </c>
      <c r="F13" s="110"/>
      <c r="G13" s="111"/>
      <c r="H13" s="104" t="s">
        <v>1</v>
      </c>
      <c r="I13" s="127" t="str">
        <f>IFERROR(VLOOKUP(I9,Produtos!B9:E26,4,0),"-")</f>
        <v>-</v>
      </c>
      <c r="J13" s="112"/>
      <c r="K13" s="108"/>
      <c r="L13" s="108"/>
      <c r="M13" s="108"/>
      <c r="N13" s="103"/>
      <c r="O13" s="95"/>
      <c r="P13" s="95"/>
      <c r="Q13" s="95"/>
    </row>
    <row r="14" spans="1:17" x14ac:dyDescent="0.25">
      <c r="A14" s="64"/>
      <c r="B14" s="135"/>
      <c r="C14" s="113"/>
      <c r="D14" s="97"/>
      <c r="E14" s="174" t="s">
        <v>21</v>
      </c>
      <c r="F14" s="175"/>
      <c r="G14" s="114"/>
      <c r="H14" s="115"/>
      <c r="I14" s="116"/>
      <c r="J14" s="117"/>
      <c r="K14" s="117"/>
      <c r="L14" s="117"/>
      <c r="M14" s="117"/>
      <c r="N14" s="118"/>
      <c r="O14" s="95"/>
      <c r="P14" s="95"/>
      <c r="Q14" s="95"/>
    </row>
    <row r="15" spans="1:17" x14ac:dyDescent="0.25">
      <c r="A15" s="64"/>
      <c r="B15" s="135"/>
      <c r="C15" s="119"/>
      <c r="D15" s="97"/>
      <c r="E15" s="164"/>
      <c r="F15" s="165"/>
      <c r="G15" s="94"/>
      <c r="H15" s="94"/>
      <c r="I15" s="94"/>
      <c r="J15" s="94"/>
      <c r="K15" s="94"/>
      <c r="L15" s="94"/>
      <c r="M15" s="94"/>
      <c r="N15" s="94"/>
      <c r="O15" s="95"/>
      <c r="P15" s="120"/>
      <c r="Q15" s="120"/>
    </row>
    <row r="16" spans="1:17" ht="17.25" x14ac:dyDescent="0.3">
      <c r="A16" s="64"/>
      <c r="B16" s="135"/>
      <c r="C16" s="81"/>
      <c r="D16" s="188"/>
      <c r="E16" s="188"/>
      <c r="F16" s="188"/>
      <c r="G16" s="188"/>
      <c r="H16" s="188"/>
      <c r="I16" s="188"/>
      <c r="J16" s="188"/>
      <c r="K16" s="188"/>
      <c r="L16" s="188"/>
      <c r="M16" s="188"/>
      <c r="N16" s="188"/>
      <c r="O16" s="63"/>
      <c r="P16" s="176" t="s">
        <v>23</v>
      </c>
      <c r="Q16" s="177"/>
    </row>
    <row r="17" spans="1:17" ht="18.75" x14ac:dyDescent="0.25">
      <c r="A17" s="64"/>
      <c r="B17" s="135"/>
      <c r="C17" s="82" t="s">
        <v>3</v>
      </c>
      <c r="D17" s="82" t="s">
        <v>5</v>
      </c>
      <c r="E17" s="178" t="s">
        <v>4</v>
      </c>
      <c r="F17" s="178"/>
      <c r="G17" s="123" t="s">
        <v>35</v>
      </c>
      <c r="H17" s="82" t="s">
        <v>20</v>
      </c>
      <c r="I17" s="82" t="s">
        <v>2</v>
      </c>
      <c r="J17" s="60"/>
      <c r="K17" s="179" t="s">
        <v>2</v>
      </c>
      <c r="L17" s="180"/>
      <c r="M17" s="180"/>
      <c r="N17" s="181"/>
      <c r="O17" s="65"/>
      <c r="P17" s="182"/>
      <c r="Q17" s="183"/>
    </row>
    <row r="18" spans="1:17" ht="15" hidden="1" customHeight="1" x14ac:dyDescent="0.25">
      <c r="B18" s="135"/>
      <c r="C18" s="66" t="str">
        <f>IFERROR(VLOOKUP(D18,Produtos!B9:E26,2,0),"-")</f>
        <v>-</v>
      </c>
      <c r="D18" s="80"/>
      <c r="E18" s="184" t="str">
        <f>IFERROR(VLOOKUP(D18,Produtos!B9:E26,3,0),"-")</f>
        <v>-</v>
      </c>
      <c r="F18" s="184"/>
      <c r="G18" s="67" t="str">
        <f>IFERROR(VLOOKUP(D18,Produtos!B9:E26,4,0),"0")</f>
        <v>0</v>
      </c>
      <c r="H18" s="68"/>
      <c r="I18" s="69">
        <f>H18*G18</f>
        <v>0</v>
      </c>
      <c r="J18" s="70"/>
      <c r="K18" s="71"/>
      <c r="L18" s="71"/>
      <c r="M18" s="71"/>
      <c r="N18" s="64"/>
      <c r="O18" s="72"/>
      <c r="P18" s="73"/>
      <c r="Q18" s="74"/>
    </row>
    <row r="19" spans="1:17" ht="17.25" x14ac:dyDescent="0.3">
      <c r="A19" s="64"/>
      <c r="B19" s="135"/>
      <c r="C19" s="60"/>
      <c r="D19" s="60"/>
      <c r="E19" s="60"/>
      <c r="F19" s="60"/>
      <c r="G19" s="60"/>
      <c r="H19" s="60"/>
      <c r="I19" s="60"/>
      <c r="J19" s="60"/>
      <c r="K19" s="185">
        <f>SUBTOTAL(109,I19:I92)</f>
        <v>0</v>
      </c>
      <c r="L19" s="186"/>
      <c r="M19" s="186"/>
      <c r="N19" s="187"/>
      <c r="O19" s="65"/>
      <c r="P19" s="75" t="s">
        <v>22</v>
      </c>
      <c r="Q19" s="76"/>
    </row>
    <row r="20" spans="1:17" x14ac:dyDescent="0.25">
      <c r="A20" s="64"/>
      <c r="B20" s="135"/>
      <c r="C20" s="64"/>
      <c r="D20" s="64"/>
      <c r="E20" s="64"/>
      <c r="F20" s="64"/>
      <c r="G20" s="64"/>
      <c r="H20" s="64"/>
      <c r="I20" s="64"/>
      <c r="J20" s="60"/>
      <c r="K20" s="64"/>
      <c r="L20" s="64"/>
      <c r="M20" s="64"/>
    </row>
    <row r="21" spans="1:17" x14ac:dyDescent="0.25">
      <c r="A21" s="64"/>
      <c r="B21" s="135"/>
      <c r="C21" s="64"/>
      <c r="D21" s="64"/>
      <c r="E21" s="64"/>
      <c r="F21" s="64"/>
      <c r="G21" s="64"/>
      <c r="H21" s="64"/>
      <c r="I21" s="64"/>
      <c r="J21" s="60"/>
      <c r="K21" s="64"/>
      <c r="L21" s="64"/>
      <c r="M21" s="64"/>
    </row>
    <row r="22" spans="1:17" x14ac:dyDescent="0.25">
      <c r="A22" s="64"/>
      <c r="B22" s="135"/>
      <c r="C22" s="64"/>
      <c r="D22" s="64"/>
      <c r="E22" s="64"/>
      <c r="F22" s="64"/>
      <c r="G22" s="64"/>
      <c r="H22" s="64"/>
      <c r="I22" s="64"/>
      <c r="J22" s="60"/>
      <c r="K22" s="64"/>
      <c r="L22" s="64"/>
      <c r="M22" s="64"/>
    </row>
    <row r="23" spans="1:17" x14ac:dyDescent="0.25">
      <c r="A23" s="64"/>
      <c r="B23" s="135"/>
      <c r="C23" s="64"/>
      <c r="D23" s="64"/>
      <c r="E23" s="64"/>
      <c r="F23" s="64"/>
      <c r="G23" s="64"/>
      <c r="H23" s="64"/>
      <c r="I23" s="64"/>
      <c r="J23" s="60"/>
      <c r="K23" s="64"/>
      <c r="L23" s="64"/>
      <c r="M23" s="64"/>
    </row>
    <row r="24" spans="1:17" x14ac:dyDescent="0.25">
      <c r="A24" s="64"/>
      <c r="B24" s="135"/>
      <c r="C24" s="64"/>
      <c r="D24" s="64"/>
      <c r="E24" s="64"/>
      <c r="F24" s="64"/>
      <c r="G24" s="64"/>
      <c r="H24" s="64"/>
      <c r="I24" s="64"/>
      <c r="J24" s="60"/>
      <c r="K24" s="64"/>
      <c r="L24" s="64"/>
      <c r="M24" s="64"/>
    </row>
    <row r="25" spans="1:17" x14ac:dyDescent="0.25">
      <c r="A25" s="64"/>
      <c r="B25" s="135"/>
      <c r="C25" s="64"/>
      <c r="D25" s="64"/>
      <c r="E25" s="64"/>
      <c r="F25" s="64"/>
      <c r="G25" s="64"/>
      <c r="H25" s="64"/>
      <c r="I25" s="64"/>
      <c r="J25" s="60"/>
      <c r="K25" s="64"/>
      <c r="L25" s="64"/>
      <c r="M25" s="64"/>
    </row>
    <row r="26" spans="1:17" x14ac:dyDescent="0.25">
      <c r="A26" s="64"/>
      <c r="B26" s="135"/>
      <c r="C26" s="64"/>
      <c r="D26" s="64"/>
      <c r="E26" s="64"/>
      <c r="F26" s="64"/>
      <c r="G26" s="64"/>
      <c r="H26" s="64"/>
      <c r="I26" s="64"/>
      <c r="J26" s="60"/>
      <c r="K26" s="64"/>
      <c r="L26" s="64"/>
      <c r="M26" s="64"/>
    </row>
    <row r="27" spans="1:17" x14ac:dyDescent="0.25">
      <c r="A27" s="64"/>
      <c r="B27" s="135"/>
      <c r="C27" s="64"/>
      <c r="D27" s="64"/>
      <c r="E27" s="64"/>
      <c r="F27" s="64"/>
      <c r="G27" s="64"/>
      <c r="H27" s="64"/>
      <c r="I27" s="64"/>
      <c r="J27" s="60"/>
      <c r="K27" s="64"/>
      <c r="L27" s="64"/>
      <c r="M27" s="64"/>
    </row>
    <row r="28" spans="1:17" x14ac:dyDescent="0.25">
      <c r="A28" s="64"/>
      <c r="B28" s="135"/>
      <c r="C28" s="64"/>
      <c r="D28" s="64"/>
      <c r="E28" s="64"/>
      <c r="F28" s="64"/>
      <c r="G28" s="64"/>
      <c r="H28" s="64"/>
      <c r="I28" s="64"/>
      <c r="J28" s="60"/>
      <c r="K28" s="64"/>
      <c r="L28" s="64"/>
      <c r="M28" s="64"/>
    </row>
    <row r="29" spans="1:17" x14ac:dyDescent="0.25">
      <c r="A29" s="64"/>
      <c r="B29" s="135"/>
      <c r="C29" s="64"/>
      <c r="D29" s="64"/>
      <c r="E29" s="64"/>
      <c r="F29" s="64"/>
      <c r="G29" s="64"/>
      <c r="H29" s="64"/>
      <c r="I29" s="64"/>
      <c r="J29" s="60"/>
      <c r="K29" s="64"/>
      <c r="L29" s="64"/>
      <c r="M29" s="64"/>
    </row>
    <row r="30" spans="1:17" x14ac:dyDescent="0.25">
      <c r="A30" s="64"/>
      <c r="B30" s="135"/>
      <c r="C30" s="64"/>
      <c r="D30" s="64"/>
      <c r="E30" s="64"/>
      <c r="F30" s="64"/>
      <c r="G30" s="64"/>
      <c r="H30" s="64"/>
      <c r="I30" s="64"/>
      <c r="J30" s="60"/>
      <c r="K30" s="64"/>
      <c r="L30" s="64"/>
      <c r="M30" s="64"/>
    </row>
    <row r="31" spans="1:17" x14ac:dyDescent="0.25">
      <c r="A31" s="64"/>
      <c r="B31" s="135"/>
      <c r="C31" s="64"/>
      <c r="D31" s="64"/>
      <c r="E31" s="64"/>
      <c r="F31" s="64"/>
      <c r="G31" s="64"/>
      <c r="H31" s="64"/>
      <c r="I31" s="64"/>
      <c r="J31" s="60"/>
      <c r="K31" s="64"/>
      <c r="L31" s="64"/>
      <c r="M31" s="64"/>
    </row>
    <row r="32" spans="1:17" x14ac:dyDescent="0.25">
      <c r="A32" s="64"/>
      <c r="B32" s="135"/>
      <c r="C32" s="64"/>
      <c r="D32" s="64"/>
      <c r="E32" s="64"/>
      <c r="F32" s="64"/>
      <c r="G32" s="64"/>
      <c r="H32" s="64"/>
      <c r="I32" s="64"/>
      <c r="J32" s="60"/>
      <c r="K32" s="64"/>
      <c r="L32" s="64"/>
      <c r="M32" s="64"/>
    </row>
    <row r="33" spans="1:13" x14ac:dyDescent="0.25">
      <c r="A33" s="64"/>
      <c r="B33" s="135"/>
      <c r="C33" s="64"/>
      <c r="D33" s="64"/>
      <c r="E33" s="64"/>
      <c r="F33" s="64"/>
      <c r="G33" s="64"/>
      <c r="H33" s="64"/>
      <c r="I33" s="64"/>
      <c r="J33" s="60"/>
      <c r="K33" s="64"/>
      <c r="L33" s="64"/>
      <c r="M33" s="64"/>
    </row>
    <row r="34" spans="1:13" x14ac:dyDescent="0.25">
      <c r="A34" s="64"/>
      <c r="B34" s="135"/>
      <c r="C34" s="64"/>
      <c r="D34" s="64"/>
      <c r="E34" s="64"/>
      <c r="F34" s="64"/>
      <c r="G34" s="64"/>
      <c r="H34" s="64"/>
      <c r="I34" s="64"/>
      <c r="J34" s="60"/>
      <c r="K34" s="64"/>
      <c r="L34" s="64"/>
      <c r="M34" s="64"/>
    </row>
    <row r="35" spans="1:13" x14ac:dyDescent="0.25">
      <c r="A35" s="64"/>
      <c r="B35" s="135"/>
      <c r="C35" s="64"/>
      <c r="D35" s="64"/>
      <c r="E35" s="64"/>
      <c r="F35" s="64"/>
      <c r="G35" s="64"/>
      <c r="H35" s="64"/>
      <c r="I35" s="64"/>
      <c r="J35" s="60"/>
      <c r="K35" s="64"/>
      <c r="L35" s="64"/>
      <c r="M35" s="64"/>
    </row>
    <row r="36" spans="1:13" x14ac:dyDescent="0.25">
      <c r="A36" s="64"/>
      <c r="B36" s="135"/>
      <c r="C36" s="64"/>
      <c r="D36" s="64"/>
      <c r="E36" s="64"/>
      <c r="F36" s="64"/>
      <c r="G36" s="64"/>
      <c r="H36" s="64"/>
      <c r="I36" s="64"/>
      <c r="J36" s="60"/>
      <c r="K36" s="64"/>
      <c r="L36" s="64"/>
      <c r="M36" s="64"/>
    </row>
    <row r="37" spans="1:13" x14ac:dyDescent="0.25">
      <c r="A37" s="64"/>
      <c r="B37" s="135"/>
      <c r="C37" s="64"/>
      <c r="D37" s="64"/>
      <c r="E37" s="64"/>
      <c r="F37" s="64"/>
      <c r="G37" s="64"/>
      <c r="H37" s="64"/>
      <c r="I37" s="64"/>
      <c r="J37" s="60"/>
      <c r="K37" s="64"/>
      <c r="L37" s="64"/>
      <c r="M37" s="64"/>
    </row>
    <row r="38" spans="1:13" x14ac:dyDescent="0.25">
      <c r="A38" s="64"/>
      <c r="B38" s="135"/>
      <c r="C38" s="64"/>
      <c r="D38" s="64"/>
      <c r="E38" s="64"/>
      <c r="F38" s="64"/>
      <c r="G38" s="64"/>
      <c r="H38" s="64"/>
      <c r="I38" s="64"/>
      <c r="J38" s="60"/>
      <c r="K38" s="64"/>
      <c r="L38" s="64"/>
      <c r="M38" s="64"/>
    </row>
    <row r="39" spans="1:13" x14ac:dyDescent="0.25">
      <c r="A39" s="64"/>
      <c r="B39" s="135"/>
      <c r="C39" s="64"/>
      <c r="D39" s="64"/>
      <c r="E39" s="64"/>
      <c r="F39" s="64"/>
      <c r="G39" s="64"/>
      <c r="H39" s="64"/>
      <c r="I39" s="64"/>
      <c r="J39" s="60"/>
      <c r="K39" s="64"/>
      <c r="L39" s="64"/>
      <c r="M39" s="64"/>
    </row>
    <row r="40" spans="1:13" x14ac:dyDescent="0.25">
      <c r="C40" s="64"/>
      <c r="D40" s="64"/>
      <c r="E40" s="64"/>
      <c r="F40" s="64"/>
      <c r="G40" s="64"/>
      <c r="H40" s="64"/>
      <c r="I40" s="64"/>
    </row>
    <row r="41" spans="1:13" x14ac:dyDescent="0.25">
      <c r="C41" s="64"/>
      <c r="D41" s="64"/>
      <c r="E41" s="64"/>
      <c r="F41" s="64"/>
      <c r="G41" s="64"/>
      <c r="H41" s="64"/>
      <c r="I41" s="64"/>
    </row>
    <row r="42" spans="1:13" x14ac:dyDescent="0.25">
      <c r="C42" s="64"/>
      <c r="D42" s="64"/>
      <c r="E42" s="64"/>
      <c r="F42" s="64"/>
      <c r="G42" s="64"/>
      <c r="H42" s="64"/>
      <c r="I42" s="64"/>
    </row>
    <row r="43" spans="1:13" x14ac:dyDescent="0.25">
      <c r="C43" s="64"/>
      <c r="D43" s="64"/>
      <c r="E43" s="64"/>
      <c r="F43" s="64"/>
      <c r="G43" s="64"/>
      <c r="H43" s="64"/>
      <c r="I43" s="64"/>
    </row>
    <row r="44" spans="1:13" x14ac:dyDescent="0.25">
      <c r="C44" s="64"/>
      <c r="D44" s="64"/>
      <c r="E44" s="64"/>
      <c r="F44" s="64"/>
      <c r="G44" s="64"/>
      <c r="H44" s="64"/>
      <c r="I44" s="64"/>
    </row>
    <row r="45" spans="1:13" x14ac:dyDescent="0.25">
      <c r="C45" s="64"/>
      <c r="D45" s="64"/>
      <c r="E45" s="64"/>
      <c r="F45" s="64"/>
      <c r="G45" s="64"/>
      <c r="H45" s="64"/>
      <c r="I45" s="64"/>
    </row>
    <row r="46" spans="1:13" x14ac:dyDescent="0.25">
      <c r="C46" s="64"/>
      <c r="D46" s="64"/>
      <c r="E46" s="64"/>
      <c r="F46" s="64"/>
      <c r="G46" s="64"/>
      <c r="H46" s="64"/>
      <c r="I46" s="64"/>
    </row>
    <row r="47" spans="1:13" x14ac:dyDescent="0.25">
      <c r="C47" s="64"/>
      <c r="D47" s="64"/>
      <c r="E47" s="64"/>
      <c r="F47" s="64"/>
      <c r="G47" s="64"/>
      <c r="H47" s="64"/>
      <c r="I47" s="64"/>
    </row>
    <row r="48" spans="1:13" x14ac:dyDescent="0.25">
      <c r="C48" s="64"/>
      <c r="D48" s="64"/>
      <c r="E48" s="64"/>
      <c r="F48" s="64"/>
      <c r="G48" s="64"/>
      <c r="H48" s="64"/>
      <c r="I48" s="64"/>
    </row>
    <row r="49" spans="2:9" x14ac:dyDescent="0.25">
      <c r="B49" s="135"/>
      <c r="C49" s="64"/>
      <c r="D49" s="64"/>
      <c r="E49" s="64"/>
      <c r="F49" s="64"/>
      <c r="G49" s="64"/>
      <c r="H49" s="64"/>
      <c r="I49" s="64"/>
    </row>
    <row r="50" spans="2:9" x14ac:dyDescent="0.25">
      <c r="B50" s="135"/>
      <c r="C50" s="64"/>
      <c r="D50" s="64"/>
      <c r="E50" s="64"/>
      <c r="F50" s="64"/>
      <c r="G50" s="64"/>
      <c r="H50" s="64"/>
      <c r="I50" s="64"/>
    </row>
    <row r="51" spans="2:9" x14ac:dyDescent="0.25">
      <c r="C51" s="64"/>
      <c r="D51" s="64"/>
      <c r="E51" s="64"/>
      <c r="F51" s="64"/>
      <c r="G51" s="64"/>
      <c r="H51" s="64"/>
      <c r="I51" s="64"/>
    </row>
    <row r="52" spans="2:9" x14ac:dyDescent="0.25">
      <c r="C52" s="64"/>
      <c r="D52" s="64"/>
      <c r="E52" s="64"/>
      <c r="F52" s="64"/>
      <c r="G52" s="64"/>
      <c r="H52" s="64"/>
      <c r="I52" s="64"/>
    </row>
    <row r="53" spans="2:9" x14ac:dyDescent="0.25">
      <c r="C53" s="64"/>
      <c r="D53" s="64"/>
      <c r="E53" s="64"/>
      <c r="F53" s="64"/>
      <c r="G53" s="64"/>
      <c r="H53" s="64"/>
      <c r="I53" s="64"/>
    </row>
    <row r="54" spans="2:9" x14ac:dyDescent="0.25">
      <c r="C54" s="64"/>
      <c r="D54" s="64"/>
      <c r="E54" s="64"/>
      <c r="F54" s="64"/>
      <c r="G54" s="64"/>
      <c r="H54" s="64"/>
      <c r="I54" s="64"/>
    </row>
    <row r="55" spans="2:9" x14ac:dyDescent="0.25">
      <c r="C55" s="64"/>
      <c r="D55" s="64"/>
      <c r="E55" s="64"/>
      <c r="F55" s="64"/>
      <c r="G55" s="64"/>
      <c r="H55" s="64"/>
      <c r="I55" s="64"/>
    </row>
    <row r="56" spans="2:9" x14ac:dyDescent="0.25">
      <c r="C56" s="64"/>
      <c r="D56" s="64"/>
      <c r="E56" s="64"/>
      <c r="F56" s="64"/>
      <c r="G56" s="64"/>
      <c r="H56" s="64"/>
      <c r="I56" s="64"/>
    </row>
    <row r="57" spans="2:9" x14ac:dyDescent="0.25">
      <c r="C57" s="64"/>
      <c r="D57" s="64"/>
      <c r="E57" s="64"/>
      <c r="F57" s="64"/>
      <c r="G57" s="64"/>
      <c r="H57" s="64"/>
      <c r="I57" s="64"/>
    </row>
    <row r="58" spans="2:9" x14ac:dyDescent="0.25">
      <c r="C58" s="64"/>
      <c r="D58" s="64"/>
      <c r="E58" s="64"/>
      <c r="F58" s="64"/>
      <c r="G58" s="64"/>
      <c r="H58" s="64"/>
      <c r="I58" s="64"/>
    </row>
    <row r="59" spans="2:9" x14ac:dyDescent="0.25">
      <c r="C59" s="64"/>
      <c r="D59" s="64"/>
      <c r="E59" s="64"/>
      <c r="F59" s="64"/>
      <c r="G59" s="64"/>
      <c r="H59" s="64"/>
      <c r="I59" s="64"/>
    </row>
    <row r="60" spans="2:9" x14ac:dyDescent="0.25">
      <c r="C60" s="64"/>
      <c r="D60" s="64"/>
      <c r="E60" s="64"/>
      <c r="F60" s="64"/>
      <c r="G60" s="64"/>
      <c r="H60" s="64"/>
      <c r="I60" s="64"/>
    </row>
    <row r="61" spans="2:9" x14ac:dyDescent="0.25">
      <c r="C61" s="64"/>
      <c r="D61" s="64"/>
      <c r="E61" s="64"/>
      <c r="F61" s="64"/>
      <c r="G61" s="64"/>
      <c r="H61" s="64"/>
      <c r="I61" s="64"/>
    </row>
    <row r="62" spans="2:9" x14ac:dyDescent="0.25">
      <c r="C62" s="64"/>
      <c r="D62" s="64"/>
      <c r="E62" s="64"/>
      <c r="F62" s="64"/>
      <c r="G62" s="64"/>
      <c r="H62" s="64"/>
      <c r="I62" s="64"/>
    </row>
    <row r="63" spans="2:9" x14ac:dyDescent="0.25">
      <c r="C63" s="64"/>
      <c r="D63" s="64"/>
      <c r="E63" s="64"/>
      <c r="F63" s="64"/>
      <c r="G63" s="64"/>
      <c r="H63" s="64"/>
      <c r="I63" s="64"/>
    </row>
    <row r="64" spans="2:9" x14ac:dyDescent="0.25">
      <c r="C64" s="64"/>
      <c r="D64" s="64"/>
      <c r="E64" s="64"/>
      <c r="F64" s="64"/>
      <c r="G64" s="64"/>
      <c r="H64" s="64"/>
      <c r="I64" s="64"/>
    </row>
    <row r="65" spans="3:9" x14ac:dyDescent="0.25">
      <c r="C65" s="64"/>
      <c r="D65" s="64"/>
      <c r="E65" s="64"/>
      <c r="F65" s="64"/>
      <c r="G65" s="64"/>
      <c r="H65" s="64"/>
      <c r="I65" s="64"/>
    </row>
    <row r="66" spans="3:9" x14ac:dyDescent="0.25">
      <c r="C66" s="64"/>
      <c r="D66" s="64"/>
      <c r="E66" s="64"/>
      <c r="F66" s="64"/>
      <c r="G66" s="64"/>
      <c r="H66" s="64"/>
      <c r="I66" s="64"/>
    </row>
    <row r="67" spans="3:9" x14ac:dyDescent="0.25">
      <c r="C67" s="64"/>
      <c r="D67" s="64"/>
      <c r="E67" s="64"/>
      <c r="F67" s="64"/>
      <c r="G67" s="64"/>
      <c r="H67" s="64"/>
      <c r="I67" s="64"/>
    </row>
    <row r="68" spans="3:9" x14ac:dyDescent="0.25">
      <c r="C68" s="64"/>
      <c r="D68" s="64"/>
      <c r="E68" s="64"/>
      <c r="F68" s="64"/>
      <c r="G68" s="64"/>
      <c r="H68" s="64"/>
      <c r="I68" s="64"/>
    </row>
    <row r="69" spans="3:9" x14ac:dyDescent="0.25">
      <c r="C69" s="64"/>
      <c r="D69" s="64"/>
      <c r="E69" s="64"/>
      <c r="F69" s="64"/>
      <c r="G69" s="64"/>
      <c r="H69" s="64"/>
      <c r="I69" s="64"/>
    </row>
    <row r="70" spans="3:9" x14ac:dyDescent="0.25">
      <c r="C70" s="64"/>
      <c r="D70" s="64"/>
      <c r="E70" s="64"/>
      <c r="F70" s="64"/>
      <c r="G70" s="64"/>
      <c r="H70" s="64"/>
      <c r="I70" s="64"/>
    </row>
    <row r="71" spans="3:9" x14ac:dyDescent="0.25">
      <c r="C71" s="64"/>
      <c r="D71" s="64"/>
      <c r="E71" s="64"/>
      <c r="F71" s="64"/>
      <c r="G71" s="64"/>
      <c r="H71" s="64"/>
      <c r="I71" s="64"/>
    </row>
    <row r="72" spans="3:9" x14ac:dyDescent="0.25">
      <c r="C72" s="64"/>
      <c r="D72" s="64"/>
      <c r="E72" s="64"/>
      <c r="F72" s="64"/>
      <c r="G72" s="64"/>
      <c r="H72" s="64"/>
      <c r="I72" s="64"/>
    </row>
    <row r="73" spans="3:9" x14ac:dyDescent="0.25">
      <c r="C73" s="64"/>
      <c r="D73" s="64"/>
      <c r="E73" s="64"/>
      <c r="F73" s="64"/>
      <c r="G73" s="64"/>
      <c r="H73" s="64"/>
      <c r="I73" s="64"/>
    </row>
    <row r="74" spans="3:9" x14ac:dyDescent="0.25">
      <c r="C74" s="64"/>
      <c r="D74" s="64"/>
      <c r="E74" s="64"/>
      <c r="F74" s="64"/>
      <c r="G74" s="64"/>
      <c r="H74" s="64"/>
      <c r="I74" s="64"/>
    </row>
    <row r="75" spans="3:9" x14ac:dyDescent="0.25">
      <c r="C75" s="64"/>
      <c r="D75" s="64"/>
      <c r="E75" s="64"/>
      <c r="F75" s="64"/>
      <c r="G75" s="64"/>
      <c r="H75" s="64"/>
      <c r="I75" s="64"/>
    </row>
    <row r="76" spans="3:9" x14ac:dyDescent="0.25">
      <c r="C76" s="64"/>
      <c r="D76" s="64"/>
      <c r="E76" s="64"/>
      <c r="F76" s="64"/>
      <c r="G76" s="64"/>
      <c r="H76" s="64"/>
      <c r="I76" s="64"/>
    </row>
    <row r="77" spans="3:9" x14ac:dyDescent="0.25">
      <c r="C77" s="64"/>
      <c r="D77" s="64"/>
      <c r="E77" s="64"/>
      <c r="F77" s="64"/>
      <c r="G77" s="64"/>
      <c r="H77" s="64"/>
      <c r="I77" s="64"/>
    </row>
    <row r="78" spans="3:9" x14ac:dyDescent="0.25">
      <c r="C78" s="64"/>
      <c r="D78" s="64"/>
      <c r="E78" s="64"/>
      <c r="F78" s="64"/>
      <c r="G78" s="64"/>
      <c r="H78" s="64"/>
      <c r="I78" s="64"/>
    </row>
    <row r="79" spans="3:9" x14ac:dyDescent="0.25">
      <c r="C79" s="64"/>
      <c r="D79" s="64"/>
      <c r="E79" s="64"/>
      <c r="F79" s="64"/>
      <c r="G79" s="64"/>
      <c r="H79" s="64"/>
      <c r="I79" s="64"/>
    </row>
    <row r="80" spans="3:9" x14ac:dyDescent="0.25">
      <c r="C80" s="64"/>
      <c r="D80" s="64"/>
      <c r="E80" s="64"/>
      <c r="F80" s="64"/>
      <c r="G80" s="64"/>
      <c r="H80" s="64"/>
      <c r="I80" s="64"/>
    </row>
    <row r="81" spans="3:9" x14ac:dyDescent="0.25">
      <c r="C81" s="64"/>
      <c r="D81" s="64"/>
      <c r="E81" s="64"/>
      <c r="F81" s="64"/>
      <c r="G81" s="64"/>
      <c r="H81" s="64"/>
      <c r="I81" s="64"/>
    </row>
    <row r="82" spans="3:9" x14ac:dyDescent="0.25">
      <c r="C82" s="64"/>
      <c r="D82" s="64"/>
      <c r="E82" s="64"/>
      <c r="F82" s="64"/>
      <c r="G82" s="64"/>
      <c r="H82" s="64"/>
      <c r="I82" s="64"/>
    </row>
    <row r="83" spans="3:9" x14ac:dyDescent="0.25">
      <c r="C83" s="64"/>
      <c r="D83" s="64"/>
      <c r="E83" s="64"/>
      <c r="F83" s="64"/>
      <c r="G83" s="64"/>
      <c r="H83" s="64"/>
      <c r="I83" s="64"/>
    </row>
    <row r="84" spans="3:9" x14ac:dyDescent="0.25">
      <c r="C84" s="64"/>
      <c r="D84" s="64"/>
      <c r="E84" s="64"/>
      <c r="F84" s="64"/>
      <c r="G84" s="64"/>
      <c r="H84" s="64"/>
      <c r="I84" s="64"/>
    </row>
    <row r="85" spans="3:9" x14ac:dyDescent="0.25">
      <c r="C85" s="64"/>
      <c r="D85" s="64"/>
      <c r="E85" s="64"/>
      <c r="F85" s="64"/>
      <c r="G85" s="64"/>
      <c r="H85" s="64"/>
      <c r="I85" s="64"/>
    </row>
    <row r="86" spans="3:9" x14ac:dyDescent="0.25">
      <c r="C86" s="64"/>
      <c r="D86" s="64"/>
      <c r="E86" s="64"/>
      <c r="F86" s="64"/>
      <c r="G86" s="64"/>
      <c r="H86" s="64"/>
      <c r="I86" s="64"/>
    </row>
    <row r="87" spans="3:9" x14ac:dyDescent="0.25">
      <c r="C87" s="64"/>
      <c r="D87" s="64"/>
      <c r="E87" s="64"/>
      <c r="F87" s="64"/>
      <c r="G87" s="64"/>
      <c r="H87" s="64"/>
      <c r="I87" s="64"/>
    </row>
    <row r="88" spans="3:9" x14ac:dyDescent="0.25">
      <c r="C88" s="64"/>
      <c r="D88" s="64"/>
      <c r="E88" s="64"/>
      <c r="F88" s="64"/>
      <c r="G88" s="64"/>
      <c r="H88" s="64"/>
      <c r="I88" s="64"/>
    </row>
    <row r="89" spans="3:9" x14ac:dyDescent="0.25">
      <c r="C89" s="64"/>
      <c r="D89" s="64"/>
      <c r="E89" s="64"/>
      <c r="F89" s="64"/>
    </row>
    <row r="90" spans="3:9" x14ac:dyDescent="0.25">
      <c r="C90" s="64"/>
      <c r="D90" s="64"/>
      <c r="E90" s="64"/>
      <c r="F90" s="64"/>
    </row>
    <row r="91" spans="3:9" x14ac:dyDescent="0.25">
      <c r="C91" s="64"/>
      <c r="D91" s="64"/>
      <c r="E91" s="64"/>
      <c r="F91" s="64"/>
    </row>
    <row r="92" spans="3:9" x14ac:dyDescent="0.25">
      <c r="C92" s="64"/>
      <c r="D92" s="64"/>
      <c r="E92" s="64"/>
      <c r="F92" s="64"/>
    </row>
    <row r="93" spans="3:9" x14ac:dyDescent="0.25">
      <c r="C93" s="64"/>
      <c r="D93" s="64"/>
      <c r="E93" s="64"/>
      <c r="F93" s="64"/>
    </row>
    <row r="94" spans="3:9" x14ac:dyDescent="0.25">
      <c r="C94" s="64"/>
      <c r="D94" s="64"/>
      <c r="E94" s="64"/>
      <c r="F94" s="64"/>
    </row>
    <row r="95" spans="3:9" x14ac:dyDescent="0.25">
      <c r="C95" s="64"/>
      <c r="D95" s="64"/>
      <c r="E95" s="64"/>
      <c r="F95" s="64"/>
    </row>
    <row r="96" spans="3:9" x14ac:dyDescent="0.25">
      <c r="C96" s="64"/>
      <c r="D96" s="64"/>
      <c r="E96" s="64"/>
      <c r="F96" s="64"/>
    </row>
    <row r="97" spans="3:7" x14ac:dyDescent="0.25">
      <c r="C97" s="64"/>
      <c r="D97" s="64"/>
      <c r="E97" s="64"/>
      <c r="F97" s="64"/>
    </row>
    <row r="98" spans="3:7" x14ac:dyDescent="0.25">
      <c r="C98" s="64"/>
      <c r="D98" s="64"/>
      <c r="E98" s="64"/>
      <c r="F98" s="64"/>
      <c r="G98" s="64"/>
    </row>
    <row r="99" spans="3:7" x14ac:dyDescent="0.25">
      <c r="C99" s="64"/>
      <c r="D99" s="64"/>
      <c r="E99" s="64"/>
      <c r="F99" s="64"/>
      <c r="G99" s="64"/>
    </row>
    <row r="100" spans="3:7" x14ac:dyDescent="0.25">
      <c r="C100" s="64"/>
      <c r="D100" s="64"/>
      <c r="E100" s="64"/>
      <c r="F100" s="64"/>
    </row>
    <row r="101" spans="3:7" x14ac:dyDescent="0.25">
      <c r="C101" s="64"/>
      <c r="D101" s="64"/>
      <c r="E101" s="64"/>
      <c r="F101" s="64"/>
    </row>
    <row r="102" spans="3:7" x14ac:dyDescent="0.25">
      <c r="C102" s="64"/>
      <c r="D102" s="64"/>
      <c r="E102" s="64"/>
      <c r="F102" s="64"/>
    </row>
    <row r="103" spans="3:7" x14ac:dyDescent="0.25">
      <c r="C103" s="64"/>
      <c r="D103" s="64"/>
      <c r="E103" s="64"/>
      <c r="F103" s="64"/>
    </row>
    <row r="104" spans="3:7" x14ac:dyDescent="0.25">
      <c r="C104" s="64"/>
      <c r="D104" s="64"/>
      <c r="E104" s="64"/>
      <c r="F104" s="64"/>
    </row>
    <row r="105" spans="3:7" x14ac:dyDescent="0.25">
      <c r="C105" s="64"/>
      <c r="D105" s="64"/>
      <c r="E105" s="64"/>
      <c r="F105" s="64"/>
    </row>
    <row r="173" spans="3:5" x14ac:dyDescent="0.25">
      <c r="C173" s="64"/>
      <c r="D173" s="64"/>
      <c r="E173" s="64"/>
    </row>
    <row r="174" spans="3:5" x14ac:dyDescent="0.25">
      <c r="C174" s="64"/>
      <c r="D174" s="64"/>
      <c r="E174" s="64"/>
    </row>
  </sheetData>
  <autoFilter ref="C17:H17">
    <filterColumn colId="2" showButton="0"/>
  </autoFilter>
  <mergeCells count="13">
    <mergeCell ref="K19:N19"/>
    <mergeCell ref="D16:N16"/>
    <mergeCell ref="P16:Q16"/>
    <mergeCell ref="E17:F17"/>
    <mergeCell ref="K17:N17"/>
    <mergeCell ref="P17:Q17"/>
    <mergeCell ref="E18:F18"/>
    <mergeCell ref="E15:F15"/>
    <mergeCell ref="E2:G2"/>
    <mergeCell ref="I9:J9"/>
    <mergeCell ref="L9:M9"/>
    <mergeCell ref="I11:M11"/>
    <mergeCell ref="E14:F14"/>
  </mergeCells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'Forma de Pag.'!$C$2:$C$21</xm:f>
          </x14:formula1>
          <xm:sqref>P17:Q17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R176"/>
  <sheetViews>
    <sheetView showGridLines="0" showRowColHeaders="0" workbookViewId="0">
      <pane ySplit="105" topLeftCell="A106" activePane="bottomLeft" state="frozen"/>
      <selection pane="bottomLeft" activeCell="P17" sqref="P17:Q17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65</v>
      </c>
      <c r="J9" s="193"/>
      <c r="K9" s="25" t="s">
        <v>19</v>
      </c>
      <c r="L9" s="194">
        <f>IFERROR(VLOOKUP(I9,Produtos!B9:E26,2,0),"-")</f>
        <v>6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Bebida Skol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>
        <f>IFERROR(VLOOKUP(I9,Produtos!B9:E26,4,0),"-")</f>
        <v>73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idden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02">
        <f>SUBTOTAL(109,I19:I94)</f>
        <v>0</v>
      </c>
      <c r="L19" s="203"/>
      <c r="M19" s="203"/>
      <c r="N19" s="204"/>
      <c r="O19" s="47"/>
      <c r="P19" s="52" t="s">
        <v>22</v>
      </c>
      <c r="Q19" s="53"/>
      <c r="R19" s="32"/>
    </row>
    <row r="20" spans="1:18" x14ac:dyDescent="0.25">
      <c r="A20" s="2"/>
      <c r="B20" s="3"/>
      <c r="C20" s="10" t="str">
        <f>IFERROR(VLOOKUP(D20,Produtos!B11:E28,2,0),"-")</f>
        <v>-</v>
      </c>
      <c r="D20" s="14"/>
      <c r="E20" s="201" t="str">
        <f>IFERROR(VLOOKUP(D20,Produtos!B11:E28,3,0),"-")</f>
        <v>-</v>
      </c>
      <c r="F20" s="201"/>
      <c r="G20" s="11" t="str">
        <f>IFERROR(VLOOKUP(D20,Produtos!B11:E28,4,0),"0")</f>
        <v>0</v>
      </c>
      <c r="H20" s="12"/>
      <c r="I20" s="13">
        <f>H20*G20</f>
        <v>0</v>
      </c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A58" s="2"/>
      <c r="B58" s="3"/>
      <c r="C58" s="2"/>
      <c r="D58" s="2"/>
      <c r="E58" s="2"/>
      <c r="F58" s="2"/>
      <c r="G58" s="2"/>
      <c r="H58" s="2"/>
      <c r="I58" s="2"/>
      <c r="J58" s="3"/>
      <c r="K58" s="2"/>
      <c r="L58" s="2"/>
      <c r="M58" s="2"/>
      <c r="R58" s="32"/>
    </row>
    <row r="59" spans="1:18" x14ac:dyDescent="0.25">
      <c r="A59" s="2"/>
      <c r="B59" s="3"/>
      <c r="C59" s="2"/>
      <c r="D59" s="2"/>
      <c r="E59" s="2"/>
      <c r="F59" s="2"/>
      <c r="G59" s="2"/>
      <c r="H59" s="2"/>
      <c r="I59" s="2"/>
      <c r="J59" s="3"/>
      <c r="K59" s="2"/>
      <c r="L59" s="2"/>
      <c r="M59" s="2"/>
      <c r="R59" s="3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C67" s="2"/>
      <c r="D67" s="2"/>
      <c r="E67" s="2"/>
      <c r="F67" s="2"/>
      <c r="G67" s="2"/>
      <c r="H67" s="2"/>
      <c r="I67" s="2"/>
    </row>
    <row r="68" spans="2:9" x14ac:dyDescent="0.25">
      <c r="C68" s="2"/>
      <c r="D68" s="2"/>
      <c r="E68" s="2"/>
      <c r="F68" s="2"/>
      <c r="G68" s="2"/>
      <c r="H68" s="2"/>
      <c r="I68" s="2"/>
    </row>
    <row r="69" spans="2:9" x14ac:dyDescent="0.25">
      <c r="B69" s="2"/>
      <c r="C69" s="2"/>
      <c r="D69" s="2"/>
      <c r="E69" s="2"/>
      <c r="F69" s="2"/>
      <c r="G69" s="2"/>
      <c r="H69" s="2"/>
      <c r="I69" s="2"/>
    </row>
    <row r="70" spans="2:9" x14ac:dyDescent="0.25">
      <c r="B70" s="2"/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  <c r="G89" s="2"/>
      <c r="H89" s="2"/>
      <c r="I89" s="2"/>
    </row>
    <row r="90" spans="3:9" x14ac:dyDescent="0.25">
      <c r="C90" s="2"/>
      <c r="D90" s="2"/>
      <c r="E90" s="2"/>
      <c r="F90" s="2"/>
      <c r="G90" s="2"/>
      <c r="H90" s="2"/>
      <c r="I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</row>
    <row r="99" spans="3:7" x14ac:dyDescent="0.25">
      <c r="C99" s="2"/>
      <c r="D99" s="2"/>
      <c r="E99" s="2"/>
      <c r="F99" s="2"/>
    </row>
    <row r="100" spans="3:7" x14ac:dyDescent="0.25">
      <c r="C100" s="2"/>
      <c r="D100" s="2"/>
      <c r="E100" s="2"/>
      <c r="F100" s="2"/>
      <c r="G100" s="2"/>
    </row>
    <row r="101" spans="3:7" x14ac:dyDescent="0.25">
      <c r="C101" s="2"/>
      <c r="D101" s="2"/>
      <c r="E101" s="2"/>
      <c r="F101" s="2"/>
      <c r="G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06" spans="3:7" x14ac:dyDescent="0.25">
      <c r="C106" s="2"/>
      <c r="D106" s="2"/>
      <c r="E106" s="2"/>
      <c r="F106" s="2"/>
    </row>
    <row r="107" spans="3:7" x14ac:dyDescent="0.25">
      <c r="C107" s="2"/>
      <c r="D107" s="2"/>
      <c r="E107" s="2"/>
      <c r="F107" s="2"/>
    </row>
    <row r="175" spans="3:5" x14ac:dyDescent="0.25">
      <c r="C175" s="2"/>
      <c r="D175" s="2"/>
      <c r="E175" s="2"/>
    </row>
    <row r="176" spans="3:5" x14ac:dyDescent="0.25">
      <c r="C176" s="2"/>
      <c r="D176" s="2"/>
      <c r="E176" s="2"/>
    </row>
  </sheetData>
  <autoFilter ref="C17:H17">
    <filterColumn colId="2" showButton="0"/>
  </autoFilter>
  <mergeCells count="14">
    <mergeCell ref="E20:F20"/>
    <mergeCell ref="K19:N19"/>
    <mergeCell ref="D16:N16"/>
    <mergeCell ref="P16:Q16"/>
    <mergeCell ref="E17:F17"/>
    <mergeCell ref="K17:N17"/>
    <mergeCell ref="P17:Q17"/>
    <mergeCell ref="E18:F18"/>
    <mergeCell ref="E15:F15"/>
    <mergeCell ref="E2:G2"/>
    <mergeCell ref="I9:J9"/>
    <mergeCell ref="L9:M9"/>
    <mergeCell ref="I11:M11"/>
    <mergeCell ref="E14:F14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R175"/>
  <sheetViews>
    <sheetView showGridLines="0" showRowColHeaders="0" workbookViewId="0">
      <pane ySplit="80" topLeftCell="A81" activePane="bottomLeft" state="frozen"/>
      <selection pane="bottomLeft" activeCell="P17" sqref="P17:Q17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33</v>
      </c>
      <c r="J9" s="193"/>
      <c r="K9" s="25" t="s">
        <v>19</v>
      </c>
      <c r="L9" s="194" t="str">
        <f>IFERROR(VLOOKUP(I9,Produtos!B9:E26,2,0),"-")</f>
        <v>-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-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 t="str">
        <f>IFERROR(VLOOKUP(I9,Produtos!B9:E26,4,0),"-")</f>
        <v>-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idden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14">
        <f>SUBTOTAL(109,I19:I93)</f>
        <v>0</v>
      </c>
      <c r="L19" s="215"/>
      <c r="M19" s="215"/>
      <c r="N19" s="216"/>
      <c r="O19" s="47"/>
      <c r="P19" s="52" t="s">
        <v>22</v>
      </c>
      <c r="Q19" s="53"/>
      <c r="R19" s="32"/>
    </row>
    <row r="20" spans="1:18" x14ac:dyDescent="0.25">
      <c r="A20" s="2"/>
      <c r="B20" s="3"/>
      <c r="C20" s="2"/>
      <c r="D20" s="2"/>
      <c r="E20" s="2"/>
      <c r="F20" s="2"/>
      <c r="G20" s="2"/>
      <c r="H20" s="2"/>
      <c r="I20" s="2"/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A58" s="2"/>
      <c r="B58" s="3"/>
      <c r="C58" s="2"/>
      <c r="D58" s="2"/>
      <c r="E58" s="2"/>
      <c r="F58" s="2"/>
      <c r="G58" s="2"/>
      <c r="H58" s="2"/>
      <c r="I58" s="2"/>
      <c r="J58" s="3"/>
      <c r="K58" s="2"/>
      <c r="L58" s="2"/>
      <c r="M58" s="2"/>
      <c r="R58" s="32"/>
    </row>
    <row r="59" spans="1:18" x14ac:dyDescent="0.25">
      <c r="A59" s="2"/>
      <c r="B59" s="3"/>
      <c r="C59" s="2"/>
      <c r="D59" s="2"/>
      <c r="E59" s="2"/>
      <c r="F59" s="2"/>
      <c r="G59" s="2"/>
      <c r="H59" s="2"/>
      <c r="I59" s="2"/>
      <c r="J59" s="3"/>
      <c r="K59" s="2"/>
      <c r="L59" s="2"/>
      <c r="M59" s="2"/>
      <c r="R59" s="3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C67" s="2"/>
      <c r="D67" s="2"/>
      <c r="E67" s="2"/>
      <c r="F67" s="2"/>
      <c r="G67" s="2"/>
      <c r="H67" s="2"/>
      <c r="I67" s="2"/>
    </row>
    <row r="68" spans="2:9" x14ac:dyDescent="0.25">
      <c r="C68" s="2"/>
      <c r="D68" s="2"/>
      <c r="E68" s="2"/>
      <c r="F68" s="2"/>
      <c r="G68" s="2"/>
      <c r="H68" s="2"/>
      <c r="I68" s="2"/>
    </row>
    <row r="69" spans="2:9" x14ac:dyDescent="0.25">
      <c r="B69" s="2"/>
      <c r="C69" s="2"/>
      <c r="D69" s="2"/>
      <c r="E69" s="2"/>
      <c r="F69" s="2"/>
      <c r="G69" s="2"/>
      <c r="H69" s="2"/>
      <c r="I69" s="2"/>
    </row>
    <row r="70" spans="2:9" x14ac:dyDescent="0.25">
      <c r="B70" s="2"/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  <c r="G89" s="2"/>
      <c r="H89" s="2"/>
      <c r="I89" s="2"/>
    </row>
    <row r="90" spans="3:9" x14ac:dyDescent="0.25">
      <c r="C90" s="2"/>
      <c r="D90" s="2"/>
      <c r="E90" s="2"/>
      <c r="F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  <c r="G100" s="2"/>
    </row>
    <row r="101" spans="3:7" x14ac:dyDescent="0.25">
      <c r="C101" s="2"/>
      <c r="D101" s="2"/>
      <c r="E101" s="2"/>
      <c r="F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06" spans="3:7" x14ac:dyDescent="0.25">
      <c r="C106" s="2"/>
      <c r="D106" s="2"/>
      <c r="E106" s="2"/>
      <c r="F106" s="2"/>
    </row>
    <row r="174" spans="3:5" x14ac:dyDescent="0.25">
      <c r="C174" s="2"/>
      <c r="D174" s="2"/>
      <c r="E174" s="2"/>
    </row>
    <row r="175" spans="3:5" x14ac:dyDescent="0.25">
      <c r="C175" s="2"/>
      <c r="D175" s="2"/>
      <c r="E175" s="2"/>
    </row>
  </sheetData>
  <autoFilter ref="C17:H17">
    <filterColumn colId="2" showButton="0"/>
  </autoFilter>
  <mergeCells count="13">
    <mergeCell ref="E15:F15"/>
    <mergeCell ref="E2:G2"/>
    <mergeCell ref="I9:J9"/>
    <mergeCell ref="L9:M9"/>
    <mergeCell ref="I11:M11"/>
    <mergeCell ref="E14:F14"/>
    <mergeCell ref="P16:Q16"/>
    <mergeCell ref="E17:F17"/>
    <mergeCell ref="K17:N17"/>
    <mergeCell ref="P17:Q17"/>
    <mergeCell ref="K19:N19"/>
    <mergeCell ref="D16:N16"/>
    <mergeCell ref="E18:F18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R175"/>
  <sheetViews>
    <sheetView showGridLines="0" showRowColHeaders="0" workbookViewId="0">
      <pane ySplit="91" topLeftCell="A92" activePane="bottomLeft" state="frozen"/>
      <selection pane="bottomLeft" activeCell="Q19" sqref="Q19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33</v>
      </c>
      <c r="J9" s="193"/>
      <c r="K9" s="25" t="s">
        <v>19</v>
      </c>
      <c r="L9" s="194" t="str">
        <f>IFERROR(VLOOKUP(I9,Produtos!B9:E26,2,0),"-")</f>
        <v>-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-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 t="str">
        <f>IFERROR(VLOOKUP(I9,Produtos!B9:E26,4,0),"-")</f>
        <v>-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idden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17">
        <f>SUBTOTAL(109,I19:I93)</f>
        <v>0</v>
      </c>
      <c r="L19" s="218"/>
      <c r="M19" s="218"/>
      <c r="N19" s="219"/>
      <c r="O19" s="47"/>
      <c r="P19" s="52" t="s">
        <v>22</v>
      </c>
      <c r="Q19" s="53"/>
      <c r="R19" s="32"/>
    </row>
    <row r="20" spans="1:18" x14ac:dyDescent="0.25">
      <c r="A20" s="2"/>
      <c r="B20" s="3"/>
      <c r="C20" s="2"/>
      <c r="D20" s="2"/>
      <c r="E20" s="2"/>
      <c r="F20" s="2"/>
      <c r="G20" s="2"/>
      <c r="H20" s="2"/>
      <c r="I20" s="2"/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A58" s="2"/>
      <c r="B58" s="3"/>
      <c r="C58" s="2"/>
      <c r="D58" s="2"/>
      <c r="E58" s="2"/>
      <c r="F58" s="2"/>
      <c r="G58" s="2"/>
      <c r="H58" s="2"/>
      <c r="I58" s="2"/>
      <c r="J58" s="3"/>
      <c r="K58" s="2"/>
      <c r="L58" s="2"/>
      <c r="M58" s="2"/>
      <c r="R58" s="32"/>
    </row>
    <row r="59" spans="1:18" x14ac:dyDescent="0.25">
      <c r="A59" s="2"/>
      <c r="B59" s="3"/>
      <c r="C59" s="2"/>
      <c r="D59" s="2"/>
      <c r="E59" s="2"/>
      <c r="F59" s="2"/>
      <c r="G59" s="2"/>
      <c r="H59" s="2"/>
      <c r="I59" s="2"/>
      <c r="J59" s="3"/>
      <c r="K59" s="2"/>
      <c r="L59" s="2"/>
      <c r="M59" s="2"/>
      <c r="R59" s="3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C67" s="2"/>
      <c r="D67" s="2"/>
      <c r="E67" s="2"/>
      <c r="F67" s="2"/>
      <c r="G67" s="2"/>
      <c r="H67" s="2"/>
      <c r="I67" s="2"/>
    </row>
    <row r="68" spans="2:9" x14ac:dyDescent="0.25">
      <c r="C68" s="2"/>
      <c r="D68" s="2"/>
      <c r="E68" s="2"/>
      <c r="F68" s="2"/>
      <c r="G68" s="2"/>
      <c r="H68" s="2"/>
      <c r="I68" s="2"/>
    </row>
    <row r="69" spans="2:9" x14ac:dyDescent="0.25">
      <c r="B69" s="2"/>
      <c r="C69" s="2"/>
      <c r="D69" s="2"/>
      <c r="E69" s="2"/>
      <c r="F69" s="2"/>
      <c r="G69" s="2"/>
      <c r="H69" s="2"/>
      <c r="I69" s="2"/>
    </row>
    <row r="70" spans="2:9" x14ac:dyDescent="0.25">
      <c r="B70" s="2"/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  <c r="G89" s="2"/>
      <c r="H89" s="2"/>
      <c r="I89" s="2"/>
    </row>
    <row r="90" spans="3:9" x14ac:dyDescent="0.25">
      <c r="C90" s="2"/>
      <c r="D90" s="2"/>
      <c r="E90" s="2"/>
      <c r="F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  <c r="G100" s="2"/>
    </row>
    <row r="101" spans="3:7" x14ac:dyDescent="0.25">
      <c r="C101" s="2"/>
      <c r="D101" s="2"/>
      <c r="E101" s="2"/>
      <c r="F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06" spans="3:7" x14ac:dyDescent="0.25">
      <c r="C106" s="2"/>
      <c r="D106" s="2"/>
      <c r="E106" s="2"/>
      <c r="F106" s="2"/>
    </row>
    <row r="174" spans="3:5" x14ac:dyDescent="0.25">
      <c r="C174" s="2"/>
      <c r="D174" s="2"/>
      <c r="E174" s="2"/>
    </row>
    <row r="175" spans="3:5" x14ac:dyDescent="0.25">
      <c r="C175" s="2"/>
      <c r="D175" s="2"/>
      <c r="E175" s="2"/>
    </row>
  </sheetData>
  <autoFilter ref="C17:H17">
    <filterColumn colId="2" showButton="0"/>
  </autoFilter>
  <mergeCells count="13">
    <mergeCell ref="E15:F15"/>
    <mergeCell ref="E2:G2"/>
    <mergeCell ref="I9:J9"/>
    <mergeCell ref="L9:M9"/>
    <mergeCell ref="I11:M11"/>
    <mergeCell ref="E14:F14"/>
    <mergeCell ref="K19:N19"/>
    <mergeCell ref="D16:N16"/>
    <mergeCell ref="P16:Q16"/>
    <mergeCell ref="E17:F17"/>
    <mergeCell ref="K17:N17"/>
    <mergeCell ref="P17:Q17"/>
    <mergeCell ref="E18:F18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R174"/>
  <sheetViews>
    <sheetView showGridLines="0" showRowColHeaders="0" workbookViewId="0">
      <pane ySplit="99" topLeftCell="A100" activePane="bottomLeft" state="frozen"/>
      <selection pane="bottomLeft" activeCell="Q19" sqref="Q19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33</v>
      </c>
      <c r="J9" s="193"/>
      <c r="K9" s="25" t="s">
        <v>19</v>
      </c>
      <c r="L9" s="194" t="str">
        <f>IFERROR(VLOOKUP(I9,Produtos!B9:E26,2,0),"-")</f>
        <v>-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-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 t="str">
        <f>IFERROR(VLOOKUP(I9,Produtos!B9:E26,4,0),"-")</f>
        <v>-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t="15" hidden="1" customHeight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17">
        <f>SUBTOTAL(109,I19:I92)</f>
        <v>0</v>
      </c>
      <c r="L19" s="218"/>
      <c r="M19" s="218"/>
      <c r="N19" s="219"/>
      <c r="O19" s="47"/>
      <c r="P19" s="52" t="s">
        <v>22</v>
      </c>
      <c r="Q19" s="53"/>
      <c r="R19" s="32"/>
    </row>
    <row r="20" spans="1:18" x14ac:dyDescent="0.25">
      <c r="A20" s="2"/>
      <c r="B20" s="3"/>
      <c r="C20" s="2"/>
      <c r="D20" s="2"/>
      <c r="E20" s="2"/>
      <c r="F20" s="2"/>
      <c r="G20" s="2"/>
      <c r="H20" s="2"/>
      <c r="I20" s="2"/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C58" s="2"/>
      <c r="D58" s="2"/>
      <c r="E58" s="2"/>
      <c r="F58" s="2"/>
      <c r="G58" s="2"/>
      <c r="H58" s="2"/>
      <c r="I58" s="2"/>
    </row>
    <row r="59" spans="1:18" x14ac:dyDescent="0.25">
      <c r="C59" s="2"/>
      <c r="D59" s="2"/>
      <c r="E59" s="2"/>
      <c r="F59" s="2"/>
      <c r="G59" s="2"/>
      <c r="H59" s="2"/>
      <c r="I59" s="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B67" s="2"/>
      <c r="C67" s="2"/>
      <c r="D67" s="2"/>
      <c r="E67" s="2"/>
      <c r="F67" s="2"/>
      <c r="G67" s="2"/>
      <c r="H67" s="2"/>
      <c r="I67" s="2"/>
    </row>
    <row r="68" spans="2:9" x14ac:dyDescent="0.25">
      <c r="B68" s="2"/>
      <c r="C68" s="2"/>
      <c r="D68" s="2"/>
      <c r="E68" s="2"/>
      <c r="F68" s="2"/>
      <c r="G68" s="2"/>
      <c r="H68" s="2"/>
      <c r="I68" s="2"/>
    </row>
    <row r="69" spans="2:9" x14ac:dyDescent="0.25">
      <c r="C69" s="2"/>
      <c r="D69" s="2"/>
      <c r="E69" s="2"/>
      <c r="F69" s="2"/>
      <c r="G69" s="2"/>
      <c r="H69" s="2"/>
      <c r="I69" s="2"/>
    </row>
    <row r="70" spans="2:9" x14ac:dyDescent="0.25"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</row>
    <row r="90" spans="3:9" x14ac:dyDescent="0.25">
      <c r="C90" s="2"/>
      <c r="D90" s="2"/>
      <c r="E90" s="2"/>
      <c r="F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</row>
    <row r="101" spans="3:7" x14ac:dyDescent="0.25">
      <c r="C101" s="2"/>
      <c r="D101" s="2"/>
      <c r="E101" s="2"/>
      <c r="F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73" spans="3:5" x14ac:dyDescent="0.25">
      <c r="C173" s="2"/>
      <c r="D173" s="2"/>
      <c r="E173" s="2"/>
    </row>
    <row r="174" spans="3:5" x14ac:dyDescent="0.25">
      <c r="C174" s="2"/>
      <c r="D174" s="2"/>
      <c r="E174" s="2"/>
    </row>
  </sheetData>
  <autoFilter ref="C17:H17">
    <filterColumn colId="2" showButton="0"/>
  </autoFilter>
  <mergeCells count="13">
    <mergeCell ref="E15:F15"/>
    <mergeCell ref="E2:G2"/>
    <mergeCell ref="I9:J9"/>
    <mergeCell ref="L9:M9"/>
    <mergeCell ref="I11:M11"/>
    <mergeCell ref="E14:F14"/>
    <mergeCell ref="K19:N19"/>
    <mergeCell ref="D16:N16"/>
    <mergeCell ref="P16:Q16"/>
    <mergeCell ref="E17:F17"/>
    <mergeCell ref="K17:N17"/>
    <mergeCell ref="P17:Q17"/>
    <mergeCell ref="E18:F18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:R174"/>
  <sheetViews>
    <sheetView showGridLines="0" showRowColHeaders="0" workbookViewId="0">
      <pane ySplit="93" topLeftCell="A94" activePane="bottomLeft" state="frozen"/>
      <selection pane="bottomLeft" activeCell="F13" sqref="F13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33</v>
      </c>
      <c r="J9" s="193"/>
      <c r="K9" s="25" t="s">
        <v>19</v>
      </c>
      <c r="L9" s="194" t="str">
        <f>IFERROR(VLOOKUP(I9,Produtos!B9:E26,2,0),"-")</f>
        <v>-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-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 t="str">
        <f>IFERROR(VLOOKUP(I9,Produtos!B9:E26,4,0),"-")</f>
        <v>-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t="15" hidden="1" customHeight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17">
        <f>SUBTOTAL(109,I19:I92)</f>
        <v>0</v>
      </c>
      <c r="L19" s="218"/>
      <c r="M19" s="218"/>
      <c r="N19" s="219"/>
      <c r="O19" s="47"/>
      <c r="P19" s="52" t="s">
        <v>22</v>
      </c>
      <c r="Q19" s="53"/>
      <c r="R19" s="32"/>
    </row>
    <row r="20" spans="1:18" x14ac:dyDescent="0.25">
      <c r="A20" s="2"/>
      <c r="B20" s="3"/>
      <c r="C20" s="2"/>
      <c r="D20" s="2"/>
      <c r="E20" s="2"/>
      <c r="F20" s="2"/>
      <c r="G20" s="2"/>
      <c r="H20" s="2"/>
      <c r="I20" s="2"/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A58" s="2"/>
      <c r="B58" s="3"/>
      <c r="C58" s="2"/>
      <c r="D58" s="2"/>
      <c r="E58" s="2"/>
      <c r="F58" s="2"/>
      <c r="G58" s="2"/>
      <c r="H58" s="2"/>
      <c r="I58" s="2"/>
      <c r="J58" s="3"/>
      <c r="K58" s="2"/>
      <c r="L58" s="2"/>
      <c r="M58" s="2"/>
      <c r="R58" s="32"/>
    </row>
    <row r="59" spans="1:18" x14ac:dyDescent="0.25">
      <c r="C59" s="2"/>
      <c r="D59" s="2"/>
      <c r="E59" s="2"/>
      <c r="F59" s="2"/>
      <c r="G59" s="2"/>
      <c r="H59" s="2"/>
      <c r="I59" s="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C67" s="2"/>
      <c r="D67" s="2"/>
      <c r="E67" s="2"/>
      <c r="F67" s="2"/>
      <c r="G67" s="2"/>
      <c r="H67" s="2"/>
      <c r="I67" s="2"/>
    </row>
    <row r="68" spans="2:9" x14ac:dyDescent="0.25">
      <c r="B68" s="2"/>
      <c r="C68" s="2"/>
      <c r="D68" s="2"/>
      <c r="E68" s="2"/>
      <c r="F68" s="2"/>
      <c r="G68" s="2"/>
      <c r="H68" s="2"/>
      <c r="I68" s="2"/>
    </row>
    <row r="69" spans="2:9" x14ac:dyDescent="0.25">
      <c r="B69" s="2"/>
      <c r="C69" s="2"/>
      <c r="D69" s="2"/>
      <c r="E69" s="2"/>
      <c r="F69" s="2"/>
      <c r="G69" s="2"/>
      <c r="H69" s="2"/>
      <c r="I69" s="2"/>
    </row>
    <row r="70" spans="2:9" x14ac:dyDescent="0.25"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</row>
    <row r="90" spans="3:9" x14ac:dyDescent="0.25">
      <c r="C90" s="2"/>
      <c r="D90" s="2"/>
      <c r="E90" s="2"/>
      <c r="F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</row>
    <row r="101" spans="3:7" x14ac:dyDescent="0.25">
      <c r="C101" s="2"/>
      <c r="D101" s="2"/>
      <c r="E101" s="2"/>
      <c r="F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73" spans="3:5" x14ac:dyDescent="0.25">
      <c r="C173" s="2"/>
      <c r="D173" s="2"/>
      <c r="E173" s="2"/>
    </row>
    <row r="174" spans="3:5" x14ac:dyDescent="0.25">
      <c r="C174" s="2"/>
      <c r="D174" s="2"/>
      <c r="E174" s="2"/>
    </row>
  </sheetData>
  <autoFilter ref="C17:H17">
    <filterColumn colId="2" showButton="0"/>
  </autoFilter>
  <mergeCells count="13">
    <mergeCell ref="E15:F15"/>
    <mergeCell ref="E2:G2"/>
    <mergeCell ref="I9:J9"/>
    <mergeCell ref="L9:M9"/>
    <mergeCell ref="I11:M11"/>
    <mergeCell ref="E14:F14"/>
    <mergeCell ref="K19:N19"/>
    <mergeCell ref="D16:N16"/>
    <mergeCell ref="P16:Q16"/>
    <mergeCell ref="E17:F17"/>
    <mergeCell ref="K17:N17"/>
    <mergeCell ref="P17:Q17"/>
    <mergeCell ref="E18:F18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R174"/>
  <sheetViews>
    <sheetView showGridLines="0" showRowColHeaders="0" workbookViewId="0">
      <pane ySplit="103" topLeftCell="A110" activePane="bottomLeft" state="frozen"/>
      <selection pane="bottomLeft" activeCell="F13" sqref="F13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33</v>
      </c>
      <c r="J9" s="193"/>
      <c r="K9" s="25" t="s">
        <v>19</v>
      </c>
      <c r="L9" s="194" t="str">
        <f>IFERROR(VLOOKUP(I9,Produtos!B9:E26,2,0),"-")</f>
        <v>-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-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 t="str">
        <f>IFERROR(VLOOKUP(I9,Produtos!B9:E26,4,0),"-")</f>
        <v>-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t="15" hidden="1" customHeight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17">
        <f>SUBTOTAL(109,I19:I92)</f>
        <v>0</v>
      </c>
      <c r="L19" s="218"/>
      <c r="M19" s="218"/>
      <c r="N19" s="219"/>
      <c r="O19" s="47"/>
      <c r="P19" s="52" t="s">
        <v>22</v>
      </c>
      <c r="Q19" s="53"/>
      <c r="R19" s="32"/>
    </row>
    <row r="20" spans="1:18" x14ac:dyDescent="0.25">
      <c r="A20" s="2"/>
      <c r="B20" s="3"/>
      <c r="C20" s="2"/>
      <c r="D20" s="2"/>
      <c r="E20" s="2"/>
      <c r="F20" s="2"/>
      <c r="G20" s="2"/>
      <c r="H20" s="2"/>
      <c r="I20" s="2"/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A58" s="2"/>
      <c r="B58" s="3"/>
      <c r="C58" s="2"/>
      <c r="D58" s="2"/>
      <c r="E58" s="2"/>
      <c r="F58" s="2"/>
      <c r="G58" s="2"/>
      <c r="H58" s="2"/>
      <c r="I58" s="2"/>
      <c r="J58" s="3"/>
      <c r="K58" s="2"/>
      <c r="L58" s="2"/>
      <c r="M58" s="2"/>
      <c r="R58" s="32"/>
    </row>
    <row r="59" spans="1:18" x14ac:dyDescent="0.25">
      <c r="C59" s="2"/>
      <c r="D59" s="2"/>
      <c r="E59" s="2"/>
      <c r="F59" s="2"/>
      <c r="G59" s="2"/>
      <c r="H59" s="2"/>
      <c r="I59" s="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C67" s="2"/>
      <c r="D67" s="2"/>
      <c r="E67" s="2"/>
      <c r="F67" s="2"/>
      <c r="G67" s="2"/>
      <c r="H67" s="2"/>
      <c r="I67" s="2"/>
    </row>
    <row r="68" spans="2:9" x14ac:dyDescent="0.25">
      <c r="B68" s="2"/>
      <c r="C68" s="2"/>
      <c r="D68" s="2"/>
      <c r="E68" s="2"/>
      <c r="F68" s="2"/>
      <c r="G68" s="2"/>
      <c r="H68" s="2"/>
      <c r="I68" s="2"/>
    </row>
    <row r="69" spans="2:9" x14ac:dyDescent="0.25">
      <c r="B69" s="2"/>
      <c r="C69" s="2"/>
      <c r="D69" s="2"/>
      <c r="E69" s="2"/>
      <c r="F69" s="2"/>
      <c r="G69" s="2"/>
      <c r="H69" s="2"/>
      <c r="I69" s="2"/>
    </row>
    <row r="70" spans="2:9" x14ac:dyDescent="0.25"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</row>
    <row r="90" spans="3:9" x14ac:dyDescent="0.25">
      <c r="C90" s="2"/>
      <c r="D90" s="2"/>
      <c r="E90" s="2"/>
      <c r="F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</row>
    <row r="101" spans="3:7" x14ac:dyDescent="0.25">
      <c r="C101" s="2"/>
      <c r="D101" s="2"/>
      <c r="E101" s="2"/>
      <c r="F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73" spans="3:5" x14ac:dyDescent="0.25">
      <c r="C173" s="2"/>
      <c r="D173" s="2"/>
      <c r="E173" s="2"/>
    </row>
    <row r="174" spans="3:5" x14ac:dyDescent="0.25">
      <c r="C174" s="2"/>
      <c r="D174" s="2"/>
      <c r="E174" s="2"/>
    </row>
  </sheetData>
  <autoFilter ref="C17:H17">
    <filterColumn colId="2" showButton="0"/>
  </autoFilter>
  <mergeCells count="13">
    <mergeCell ref="E15:F15"/>
    <mergeCell ref="E2:G2"/>
    <mergeCell ref="I9:J9"/>
    <mergeCell ref="L9:M9"/>
    <mergeCell ref="I11:M11"/>
    <mergeCell ref="E14:F14"/>
    <mergeCell ref="K19:N19"/>
    <mergeCell ref="D16:N16"/>
    <mergeCell ref="P16:Q16"/>
    <mergeCell ref="E17:F17"/>
    <mergeCell ref="K17:N17"/>
    <mergeCell ref="P17:Q17"/>
    <mergeCell ref="E18:F18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R174"/>
  <sheetViews>
    <sheetView showGridLines="0" showRowColHeaders="0" workbookViewId="0">
      <pane ySplit="104" topLeftCell="A105" activePane="bottomLeft" state="frozen"/>
      <selection pane="bottomLeft" activeCell="F13" sqref="F13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33</v>
      </c>
      <c r="J9" s="193"/>
      <c r="K9" s="25" t="s">
        <v>19</v>
      </c>
      <c r="L9" s="194" t="str">
        <f>IFERROR(VLOOKUP(I9,Produtos!B9:E26,2,0),"-")</f>
        <v>-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-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 t="str">
        <f>IFERROR(VLOOKUP(I9,Produtos!B9:E26,4,0),"-")</f>
        <v>-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t="15" hidden="1" customHeight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17">
        <f>SUBTOTAL(109,I19:I92)</f>
        <v>0</v>
      </c>
      <c r="L19" s="218"/>
      <c r="M19" s="218"/>
      <c r="N19" s="219"/>
      <c r="O19" s="47"/>
      <c r="P19" s="52" t="s">
        <v>22</v>
      </c>
      <c r="Q19" s="53"/>
      <c r="R19" s="32"/>
    </row>
    <row r="20" spans="1:18" x14ac:dyDescent="0.25">
      <c r="A20" s="2"/>
      <c r="B20" s="3"/>
      <c r="C20" s="2"/>
      <c r="D20" s="2"/>
      <c r="E20" s="2"/>
      <c r="F20" s="2"/>
      <c r="G20" s="2"/>
      <c r="H20" s="2"/>
      <c r="I20" s="2"/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C58" s="2"/>
      <c r="D58" s="2"/>
      <c r="E58" s="2"/>
      <c r="F58" s="2"/>
      <c r="G58" s="2"/>
      <c r="H58" s="2"/>
      <c r="I58" s="2"/>
    </row>
    <row r="59" spans="1:18" x14ac:dyDescent="0.25">
      <c r="C59" s="2"/>
      <c r="D59" s="2"/>
      <c r="E59" s="2"/>
      <c r="F59" s="2"/>
      <c r="G59" s="2"/>
      <c r="H59" s="2"/>
      <c r="I59" s="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B67" s="2"/>
      <c r="C67" s="2"/>
      <c r="D67" s="2"/>
      <c r="E67" s="2"/>
      <c r="F67" s="2"/>
      <c r="G67" s="2"/>
      <c r="H67" s="2"/>
      <c r="I67" s="2"/>
    </row>
    <row r="68" spans="2:9" x14ac:dyDescent="0.25">
      <c r="B68" s="2"/>
      <c r="C68" s="2"/>
      <c r="D68" s="2"/>
      <c r="E68" s="2"/>
      <c r="F68" s="2"/>
      <c r="G68" s="2"/>
      <c r="H68" s="2"/>
      <c r="I68" s="2"/>
    </row>
    <row r="69" spans="2:9" x14ac:dyDescent="0.25">
      <c r="C69" s="2"/>
      <c r="D69" s="2"/>
      <c r="E69" s="2"/>
      <c r="F69" s="2"/>
      <c r="G69" s="2"/>
      <c r="H69" s="2"/>
      <c r="I69" s="2"/>
    </row>
    <row r="70" spans="2:9" x14ac:dyDescent="0.25"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</row>
    <row r="90" spans="3:9" x14ac:dyDescent="0.25">
      <c r="C90" s="2"/>
      <c r="D90" s="2"/>
      <c r="E90" s="2"/>
      <c r="F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</row>
    <row r="101" spans="3:7" x14ac:dyDescent="0.25">
      <c r="C101" s="2"/>
      <c r="D101" s="2"/>
      <c r="E101" s="2"/>
      <c r="F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73" spans="3:5" x14ac:dyDescent="0.25">
      <c r="C173" s="2"/>
      <c r="D173" s="2"/>
      <c r="E173" s="2"/>
    </row>
    <row r="174" spans="3:5" x14ac:dyDescent="0.25">
      <c r="C174" s="2"/>
      <c r="D174" s="2"/>
      <c r="E174" s="2"/>
    </row>
  </sheetData>
  <autoFilter ref="C17:I17">
    <filterColumn colId="2" showButton="0"/>
  </autoFilter>
  <mergeCells count="13">
    <mergeCell ref="E15:F15"/>
    <mergeCell ref="E2:G2"/>
    <mergeCell ref="I9:J9"/>
    <mergeCell ref="L9:M9"/>
    <mergeCell ref="I11:M11"/>
    <mergeCell ref="E14:F14"/>
    <mergeCell ref="P16:Q16"/>
    <mergeCell ref="E17:F17"/>
    <mergeCell ref="K17:N17"/>
    <mergeCell ref="P17:Q17"/>
    <mergeCell ref="K19:N19"/>
    <mergeCell ref="D16:N16"/>
    <mergeCell ref="E18:F18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:R174"/>
  <sheetViews>
    <sheetView showGridLines="0" showRowColHeaders="0" workbookViewId="0">
      <pane ySplit="121" topLeftCell="A122" activePane="bottomLeft" state="frozen"/>
      <selection pane="bottomLeft" activeCell="F13" sqref="F13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33</v>
      </c>
      <c r="J9" s="193"/>
      <c r="K9" s="25" t="s">
        <v>19</v>
      </c>
      <c r="L9" s="194" t="str">
        <f>IFERROR(VLOOKUP(I9,Produtos!B9:E26,2,0),"-")</f>
        <v>-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-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 t="str">
        <f>IFERROR(VLOOKUP(I9,Produtos!B9:E26,4,0),"-")</f>
        <v>-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t="15" hidden="1" customHeight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17">
        <f>SUBTOTAL(109,I19:I92)</f>
        <v>0</v>
      </c>
      <c r="L19" s="218"/>
      <c r="M19" s="218"/>
      <c r="N19" s="219"/>
      <c r="O19" s="47"/>
      <c r="P19" s="52" t="s">
        <v>22</v>
      </c>
      <c r="Q19" s="53"/>
      <c r="R19" s="32"/>
    </row>
    <row r="20" spans="1:18" x14ac:dyDescent="0.25">
      <c r="A20" s="2"/>
      <c r="B20" s="3"/>
      <c r="C20" s="2"/>
      <c r="D20" s="2"/>
      <c r="E20" s="2"/>
      <c r="F20" s="2"/>
      <c r="G20" s="2"/>
      <c r="H20" s="2"/>
      <c r="I20" s="2"/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A58" s="2"/>
      <c r="B58" s="3"/>
      <c r="C58" s="2"/>
      <c r="D58" s="2"/>
      <c r="E58" s="2"/>
      <c r="F58" s="2"/>
      <c r="G58" s="2"/>
      <c r="H58" s="2"/>
      <c r="I58" s="2"/>
      <c r="J58" s="3"/>
      <c r="K58" s="2"/>
      <c r="L58" s="2"/>
      <c r="M58" s="2"/>
      <c r="R58" s="32"/>
    </row>
    <row r="59" spans="1:18" x14ac:dyDescent="0.25">
      <c r="C59" s="2"/>
      <c r="D59" s="2"/>
      <c r="E59" s="2"/>
      <c r="F59" s="2"/>
      <c r="G59" s="2"/>
      <c r="H59" s="2"/>
      <c r="I59" s="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C67" s="2"/>
      <c r="D67" s="2"/>
      <c r="E67" s="2"/>
      <c r="F67" s="2"/>
      <c r="G67" s="2"/>
      <c r="H67" s="2"/>
      <c r="I67" s="2"/>
    </row>
    <row r="68" spans="2:9" x14ac:dyDescent="0.25">
      <c r="B68" s="2"/>
      <c r="C68" s="2"/>
      <c r="D68" s="2"/>
      <c r="E68" s="2"/>
      <c r="F68" s="2"/>
      <c r="G68" s="2"/>
      <c r="H68" s="2"/>
      <c r="I68" s="2"/>
    </row>
    <row r="69" spans="2:9" x14ac:dyDescent="0.25">
      <c r="B69" s="2"/>
      <c r="C69" s="2"/>
      <c r="D69" s="2"/>
      <c r="E69" s="2"/>
      <c r="F69" s="2"/>
      <c r="G69" s="2"/>
      <c r="H69" s="2"/>
      <c r="I69" s="2"/>
    </row>
    <row r="70" spans="2:9" x14ac:dyDescent="0.25"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</row>
    <row r="90" spans="3:9" x14ac:dyDescent="0.25">
      <c r="C90" s="2"/>
      <c r="D90" s="2"/>
      <c r="E90" s="2"/>
      <c r="F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</row>
    <row r="101" spans="3:7" x14ac:dyDescent="0.25">
      <c r="C101" s="2"/>
      <c r="D101" s="2"/>
      <c r="E101" s="2"/>
      <c r="F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73" spans="3:5" x14ac:dyDescent="0.25">
      <c r="C173" s="2"/>
      <c r="D173" s="2"/>
      <c r="E173" s="2"/>
    </row>
    <row r="174" spans="3:5" x14ac:dyDescent="0.25">
      <c r="C174" s="2"/>
      <c r="D174" s="2"/>
      <c r="E174" s="2"/>
    </row>
  </sheetData>
  <autoFilter ref="C17:H17">
    <filterColumn colId="2" showButton="0"/>
  </autoFilter>
  <mergeCells count="13">
    <mergeCell ref="E15:F15"/>
    <mergeCell ref="E2:G2"/>
    <mergeCell ref="I9:J9"/>
    <mergeCell ref="L9:M9"/>
    <mergeCell ref="I11:M11"/>
    <mergeCell ref="E14:F14"/>
    <mergeCell ref="K19:N19"/>
    <mergeCell ref="D16:N16"/>
    <mergeCell ref="P16:Q16"/>
    <mergeCell ref="E17:F17"/>
    <mergeCell ref="K17:N17"/>
    <mergeCell ref="P17:Q17"/>
    <mergeCell ref="E18:F18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A1:R174"/>
  <sheetViews>
    <sheetView showGridLines="0" showRowColHeaders="0" workbookViewId="0">
      <pane ySplit="83" topLeftCell="A84" activePane="bottomLeft" state="frozen"/>
      <selection pane="bottomLeft" activeCell="F13" sqref="F13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33</v>
      </c>
      <c r="J9" s="193"/>
      <c r="K9" s="25" t="s">
        <v>19</v>
      </c>
      <c r="L9" s="194" t="str">
        <f>IFERROR(VLOOKUP(I9,Produtos!B9:E26,2,0),"-")</f>
        <v>-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-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 t="str">
        <f>IFERROR(VLOOKUP(I9,Produtos!B9:E26,4,0),"-")</f>
        <v>-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t="15" hidden="1" customHeight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17">
        <f>SUBTOTAL(109,I19:I92)</f>
        <v>0</v>
      </c>
      <c r="L19" s="218"/>
      <c r="M19" s="218"/>
      <c r="N19" s="219"/>
      <c r="O19" s="47"/>
      <c r="P19" s="52" t="s">
        <v>22</v>
      </c>
      <c r="Q19" s="53"/>
      <c r="R19" s="32"/>
    </row>
    <row r="20" spans="1:18" x14ac:dyDescent="0.25">
      <c r="A20" s="2"/>
      <c r="B20" s="3"/>
      <c r="C20" s="2"/>
      <c r="D20" s="2"/>
      <c r="E20" s="2"/>
      <c r="F20" s="2"/>
      <c r="G20" s="2"/>
      <c r="H20" s="2"/>
      <c r="I20" s="2"/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A58" s="2"/>
      <c r="B58" s="3"/>
      <c r="C58" s="2"/>
      <c r="D58" s="2"/>
      <c r="E58" s="2"/>
      <c r="F58" s="2"/>
      <c r="G58" s="2"/>
      <c r="H58" s="2"/>
      <c r="I58" s="2"/>
      <c r="J58" s="3"/>
      <c r="K58" s="2"/>
      <c r="L58" s="2"/>
      <c r="M58" s="2"/>
      <c r="R58" s="32"/>
    </row>
    <row r="59" spans="1:18" x14ac:dyDescent="0.25">
      <c r="C59" s="2"/>
      <c r="D59" s="2"/>
      <c r="E59" s="2"/>
      <c r="F59" s="2"/>
      <c r="G59" s="2"/>
      <c r="H59" s="2"/>
      <c r="I59" s="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C67" s="2"/>
      <c r="D67" s="2"/>
      <c r="E67" s="2"/>
      <c r="F67" s="2"/>
      <c r="G67" s="2"/>
      <c r="H67" s="2"/>
      <c r="I67" s="2"/>
    </row>
    <row r="68" spans="2:9" x14ac:dyDescent="0.25">
      <c r="B68" s="2"/>
      <c r="C68" s="2"/>
      <c r="D68" s="2"/>
      <c r="E68" s="2"/>
      <c r="F68" s="2"/>
      <c r="G68" s="2"/>
      <c r="H68" s="2"/>
      <c r="I68" s="2"/>
    </row>
    <row r="69" spans="2:9" x14ac:dyDescent="0.25">
      <c r="B69" s="2"/>
      <c r="C69" s="2"/>
      <c r="D69" s="2"/>
      <c r="E69" s="2"/>
      <c r="F69" s="2"/>
      <c r="G69" s="2"/>
      <c r="H69" s="2"/>
      <c r="I69" s="2"/>
    </row>
    <row r="70" spans="2:9" x14ac:dyDescent="0.25"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</row>
    <row r="90" spans="3:9" x14ac:dyDescent="0.25">
      <c r="C90" s="2"/>
      <c r="D90" s="2"/>
      <c r="E90" s="2"/>
      <c r="F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</row>
    <row r="101" spans="3:7" x14ac:dyDescent="0.25">
      <c r="C101" s="2"/>
      <c r="D101" s="2"/>
      <c r="E101" s="2"/>
      <c r="F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73" spans="3:5" x14ac:dyDescent="0.25">
      <c r="C173" s="2"/>
      <c r="D173" s="2"/>
      <c r="E173" s="2"/>
    </row>
    <row r="174" spans="3:5" x14ac:dyDescent="0.25">
      <c r="C174" s="2"/>
      <c r="D174" s="2"/>
      <c r="E174" s="2"/>
    </row>
  </sheetData>
  <autoFilter ref="C17:H17">
    <filterColumn colId="2" showButton="0"/>
  </autoFilter>
  <mergeCells count="13">
    <mergeCell ref="E15:F15"/>
    <mergeCell ref="E2:G2"/>
    <mergeCell ref="I9:J9"/>
    <mergeCell ref="L9:M9"/>
    <mergeCell ref="I11:M11"/>
    <mergeCell ref="E14:F14"/>
    <mergeCell ref="K19:N19"/>
    <mergeCell ref="D16:N16"/>
    <mergeCell ref="P16:Q16"/>
    <mergeCell ref="E17:F17"/>
    <mergeCell ref="K17:N17"/>
    <mergeCell ref="P17:Q17"/>
    <mergeCell ref="E18:F18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A1:R174"/>
  <sheetViews>
    <sheetView showGridLines="0" showRowColHeaders="0" workbookViewId="0">
      <pane ySplit="129" topLeftCell="A130" activePane="bottomLeft" state="frozen"/>
      <selection pane="bottomLeft" activeCell="I9" sqref="I9:J9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33</v>
      </c>
      <c r="J9" s="193"/>
      <c r="K9" s="25" t="s">
        <v>19</v>
      </c>
      <c r="L9" s="194" t="str">
        <f>IFERROR(VLOOKUP(I9,Produtos!B9:E26,2,0),"-")</f>
        <v>-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-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 t="str">
        <f>IFERROR(VLOOKUP(I9,Produtos!B9:E26,4,0),"-")</f>
        <v>-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t="15" hidden="1" customHeight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17">
        <f>SUBTOTAL(109,I19:I92)</f>
        <v>0</v>
      </c>
      <c r="L19" s="218"/>
      <c r="M19" s="218"/>
      <c r="N19" s="219"/>
      <c r="O19" s="47"/>
      <c r="P19" s="52" t="s">
        <v>22</v>
      </c>
      <c r="Q19" s="53"/>
      <c r="R19" s="32"/>
    </row>
    <row r="20" spans="1:18" x14ac:dyDescent="0.25">
      <c r="A20" s="2"/>
      <c r="B20" s="3"/>
      <c r="C20" s="2"/>
      <c r="D20" s="2"/>
      <c r="E20" s="2"/>
      <c r="F20" s="2"/>
      <c r="G20" s="2"/>
      <c r="H20" s="2"/>
      <c r="I20" s="2"/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A58" s="2"/>
      <c r="B58" s="3"/>
      <c r="C58" s="2"/>
      <c r="D58" s="2"/>
      <c r="E58" s="2"/>
      <c r="F58" s="2"/>
      <c r="G58" s="2"/>
      <c r="H58" s="2"/>
      <c r="I58" s="2"/>
      <c r="J58" s="3"/>
      <c r="K58" s="2"/>
      <c r="L58" s="2"/>
      <c r="M58" s="2"/>
      <c r="R58" s="32"/>
    </row>
    <row r="59" spans="1:18" x14ac:dyDescent="0.25">
      <c r="C59" s="2"/>
      <c r="D59" s="2"/>
      <c r="E59" s="2"/>
      <c r="F59" s="2"/>
      <c r="G59" s="2"/>
      <c r="H59" s="2"/>
      <c r="I59" s="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C67" s="2"/>
      <c r="D67" s="2"/>
      <c r="E67" s="2"/>
      <c r="F67" s="2"/>
      <c r="G67" s="2"/>
      <c r="H67" s="2"/>
      <c r="I67" s="2"/>
    </row>
    <row r="68" spans="2:9" x14ac:dyDescent="0.25">
      <c r="B68" s="2"/>
      <c r="C68" s="2"/>
      <c r="D68" s="2"/>
      <c r="E68" s="2"/>
      <c r="F68" s="2"/>
      <c r="G68" s="2"/>
      <c r="H68" s="2"/>
      <c r="I68" s="2"/>
    </row>
    <row r="69" spans="2:9" x14ac:dyDescent="0.25">
      <c r="B69" s="2"/>
      <c r="C69" s="2"/>
      <c r="D69" s="2"/>
      <c r="E69" s="2"/>
      <c r="F69" s="2"/>
      <c r="G69" s="2"/>
      <c r="H69" s="2"/>
      <c r="I69" s="2"/>
    </row>
    <row r="70" spans="2:9" x14ac:dyDescent="0.25"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</row>
    <row r="90" spans="3:9" x14ac:dyDescent="0.25">
      <c r="C90" s="2"/>
      <c r="D90" s="2"/>
      <c r="E90" s="2"/>
      <c r="F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</row>
    <row r="101" spans="3:7" x14ac:dyDescent="0.25">
      <c r="C101" s="2"/>
      <c r="D101" s="2"/>
      <c r="E101" s="2"/>
      <c r="F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73" spans="3:5" x14ac:dyDescent="0.25">
      <c r="C173" s="2"/>
      <c r="D173" s="2"/>
      <c r="E173" s="2"/>
    </row>
    <row r="174" spans="3:5" x14ac:dyDescent="0.25">
      <c r="C174" s="2"/>
      <c r="D174" s="2"/>
      <c r="E174" s="2"/>
    </row>
  </sheetData>
  <autoFilter ref="C17:H17">
    <filterColumn colId="2" showButton="0"/>
  </autoFilter>
  <mergeCells count="13">
    <mergeCell ref="E15:F15"/>
    <mergeCell ref="E2:G2"/>
    <mergeCell ref="I9:J9"/>
    <mergeCell ref="L9:M9"/>
    <mergeCell ref="I11:M11"/>
    <mergeCell ref="E14:F14"/>
    <mergeCell ref="K19:N19"/>
    <mergeCell ref="D16:N16"/>
    <mergeCell ref="P16:Q16"/>
    <mergeCell ref="E17:F17"/>
    <mergeCell ref="K17:N17"/>
    <mergeCell ref="P17:Q17"/>
    <mergeCell ref="E18:F18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A1:R174"/>
  <sheetViews>
    <sheetView showGridLines="0" showRowColHeaders="0" workbookViewId="0">
      <pane ySplit="122" topLeftCell="A123" activePane="bottomLeft" state="frozen"/>
      <selection pane="bottomLeft" activeCell="I9" sqref="I9:J9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33</v>
      </c>
      <c r="J9" s="193"/>
      <c r="K9" s="25" t="s">
        <v>19</v>
      </c>
      <c r="L9" s="194" t="str">
        <f>IFERROR(VLOOKUP(I9,Produtos!B9:E26,2,0),"-")</f>
        <v>-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-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 t="str">
        <f>IFERROR(VLOOKUP(I9,Produtos!B9:E26,4,0),"-")</f>
        <v>-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t="15" hidden="1" customHeight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17">
        <f>SUBTOTAL(109,I19:I92)</f>
        <v>0</v>
      </c>
      <c r="L19" s="218"/>
      <c r="M19" s="218"/>
      <c r="N19" s="219"/>
      <c r="O19" s="47"/>
      <c r="P19" s="52" t="s">
        <v>22</v>
      </c>
      <c r="Q19" s="53"/>
      <c r="R19" s="32"/>
    </row>
    <row r="20" spans="1:18" x14ac:dyDescent="0.25">
      <c r="A20" s="2"/>
      <c r="B20" s="3"/>
      <c r="C20" s="2"/>
      <c r="D20" s="2"/>
      <c r="E20" s="2"/>
      <c r="F20" s="2"/>
      <c r="G20" s="2"/>
      <c r="H20" s="2"/>
      <c r="I20" s="2"/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A58" s="2"/>
      <c r="B58" s="3"/>
      <c r="C58" s="2"/>
      <c r="D58" s="2"/>
      <c r="E58" s="2"/>
      <c r="F58" s="2"/>
      <c r="G58" s="2"/>
      <c r="H58" s="2"/>
      <c r="I58" s="2"/>
      <c r="J58" s="3"/>
      <c r="K58" s="2"/>
      <c r="L58" s="2"/>
      <c r="M58" s="2"/>
      <c r="R58" s="32"/>
    </row>
    <row r="59" spans="1:18" x14ac:dyDescent="0.25">
      <c r="C59" s="2"/>
      <c r="D59" s="2"/>
      <c r="E59" s="2"/>
      <c r="F59" s="2"/>
      <c r="G59" s="2"/>
      <c r="H59" s="2"/>
      <c r="I59" s="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C67" s="2"/>
      <c r="D67" s="2"/>
      <c r="E67" s="2"/>
      <c r="F67" s="2"/>
      <c r="G67" s="2"/>
      <c r="H67" s="2"/>
      <c r="I67" s="2"/>
    </row>
    <row r="68" spans="2:9" x14ac:dyDescent="0.25">
      <c r="B68" s="2"/>
      <c r="C68" s="2"/>
      <c r="D68" s="2"/>
      <c r="E68" s="2"/>
      <c r="F68" s="2"/>
      <c r="G68" s="2"/>
      <c r="H68" s="2"/>
      <c r="I68" s="2"/>
    </row>
    <row r="69" spans="2:9" x14ac:dyDescent="0.25">
      <c r="B69" s="2"/>
      <c r="C69" s="2"/>
      <c r="D69" s="2"/>
      <c r="E69" s="2"/>
      <c r="F69" s="2"/>
      <c r="G69" s="2"/>
      <c r="H69" s="2"/>
      <c r="I69" s="2"/>
    </row>
    <row r="70" spans="2:9" x14ac:dyDescent="0.25"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</row>
    <row r="90" spans="3:9" x14ac:dyDescent="0.25">
      <c r="C90" s="2"/>
      <c r="D90" s="2"/>
      <c r="E90" s="2"/>
      <c r="F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</row>
    <row r="101" spans="3:7" x14ac:dyDescent="0.25">
      <c r="C101" s="2"/>
      <c r="D101" s="2"/>
      <c r="E101" s="2"/>
      <c r="F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73" spans="3:5" x14ac:dyDescent="0.25">
      <c r="C173" s="2"/>
      <c r="D173" s="2"/>
      <c r="E173" s="2"/>
    </row>
    <row r="174" spans="3:5" x14ac:dyDescent="0.25">
      <c r="C174" s="2"/>
      <c r="D174" s="2"/>
      <c r="E174" s="2"/>
    </row>
  </sheetData>
  <autoFilter ref="C17:H17">
    <filterColumn colId="2" showButton="0"/>
  </autoFilter>
  <mergeCells count="13">
    <mergeCell ref="E15:F15"/>
    <mergeCell ref="E2:G2"/>
    <mergeCell ref="I9:J9"/>
    <mergeCell ref="L9:M9"/>
    <mergeCell ref="I11:M11"/>
    <mergeCell ref="E14:F14"/>
    <mergeCell ref="K19:N19"/>
    <mergeCell ref="D16:N16"/>
    <mergeCell ref="P16:Q16"/>
    <mergeCell ref="E17:F17"/>
    <mergeCell ref="K17:N17"/>
    <mergeCell ref="P17:Q17"/>
    <mergeCell ref="E18:F18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A1:R174"/>
  <sheetViews>
    <sheetView showGridLines="0" showRowColHeaders="0" workbookViewId="0">
      <pane ySplit="105" topLeftCell="A106" activePane="bottomLeft" state="frozen"/>
      <selection pane="bottomLeft" activeCell="P17" sqref="P17:Q17"/>
    </sheetView>
  </sheetViews>
  <sheetFormatPr defaultRowHeight="15" x14ac:dyDescent="0.25"/>
  <cols>
    <col min="1" max="1" width="8.28515625" style="1" customWidth="1"/>
    <col min="2" max="2" width="4" style="1" customWidth="1"/>
    <col min="3" max="3" width="13.42578125" style="1" customWidth="1"/>
    <col min="4" max="4" width="15" style="1" customWidth="1"/>
    <col min="5" max="5" width="12.140625" style="1" customWidth="1"/>
    <col min="6" max="6" width="14" style="1" customWidth="1"/>
    <col min="7" max="8" width="14.140625" style="1" customWidth="1"/>
    <col min="9" max="9" width="10.5703125" style="1" customWidth="1"/>
    <col min="10" max="10" width="4" style="1" customWidth="1"/>
    <col min="11" max="12" width="9.140625" style="1"/>
    <col min="13" max="13" width="4.140625" style="1" customWidth="1"/>
    <col min="14" max="14" width="9.140625" style="1"/>
    <col min="15" max="15" width="2.5703125" style="1" customWidth="1"/>
    <col min="16" max="16" width="9.42578125" style="1" customWidth="1"/>
    <col min="17" max="17" width="18.7109375" style="1" customWidth="1"/>
    <col min="18" max="18" width="4" style="1" customWidth="1"/>
    <col min="19" max="16384" width="9.140625" style="1"/>
  </cols>
  <sheetData>
    <row r="1" spans="1:18" x14ac:dyDescent="0.25">
      <c r="B1" s="3"/>
      <c r="C1" s="27"/>
      <c r="D1" s="27"/>
      <c r="E1" s="44"/>
      <c r="F1" s="44"/>
      <c r="G1" s="27"/>
      <c r="H1" s="27"/>
      <c r="I1" s="45"/>
      <c r="J1" s="32"/>
      <c r="K1" s="32"/>
      <c r="L1" s="32"/>
      <c r="M1" s="32"/>
      <c r="N1" s="32"/>
      <c r="O1" s="32"/>
      <c r="P1" s="32"/>
      <c r="Q1" s="32"/>
      <c r="R1" s="32"/>
    </row>
    <row r="2" spans="1:18" x14ac:dyDescent="0.25">
      <c r="A2" s="29"/>
      <c r="B2" s="57"/>
      <c r="C2" s="29"/>
      <c r="D2" s="29"/>
      <c r="E2" s="191">
        <f ca="1">TODAY()</f>
        <v>42012</v>
      </c>
      <c r="F2" s="191"/>
      <c r="G2" s="191"/>
      <c r="H2" s="29"/>
      <c r="I2" s="29"/>
      <c r="J2" s="29"/>
      <c r="K2" s="29"/>
      <c r="L2" s="29"/>
      <c r="M2" s="29"/>
      <c r="N2" s="29"/>
      <c r="Q2" s="28"/>
      <c r="R2" s="32"/>
    </row>
    <row r="3" spans="1:18" x14ac:dyDescent="0.25">
      <c r="A3" s="29"/>
      <c r="B3" s="57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Q3" s="28"/>
      <c r="R3" s="32"/>
    </row>
    <row r="4" spans="1:18" x14ac:dyDescent="0.25">
      <c r="A4" s="29"/>
      <c r="B4" s="57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Q4" s="28"/>
      <c r="R4" s="32"/>
    </row>
    <row r="5" spans="1:18" x14ac:dyDescent="0.25">
      <c r="A5" s="29"/>
      <c r="B5" s="57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Q5" s="28"/>
      <c r="R5" s="32"/>
    </row>
    <row r="6" spans="1:18" x14ac:dyDescent="0.25">
      <c r="A6" s="29"/>
      <c r="B6" s="57"/>
      <c r="C6" s="29"/>
      <c r="D6" s="29"/>
      <c r="E6" s="29"/>
      <c r="F6" s="29"/>
      <c r="G6" s="29"/>
      <c r="H6" s="33"/>
      <c r="I6" s="30"/>
      <c r="J6" s="30"/>
      <c r="K6" s="30"/>
      <c r="L6" s="30"/>
      <c r="M6" s="30"/>
      <c r="N6" s="30"/>
      <c r="Q6" s="28"/>
      <c r="R6" s="32"/>
    </row>
    <row r="7" spans="1:18" x14ac:dyDescent="0.25">
      <c r="A7" s="29"/>
      <c r="B7" s="57"/>
      <c r="C7" s="29"/>
      <c r="D7" s="29"/>
      <c r="E7" s="29"/>
      <c r="F7" s="29"/>
      <c r="G7" s="36"/>
      <c r="H7" s="7"/>
      <c r="I7" s="2"/>
      <c r="J7" s="2"/>
      <c r="K7" s="2"/>
      <c r="L7" s="2"/>
      <c r="M7" s="2"/>
      <c r="N7" s="19"/>
      <c r="Q7" s="28"/>
      <c r="R7" s="32"/>
    </row>
    <row r="8" spans="1:18" x14ac:dyDescent="0.25">
      <c r="A8" s="29"/>
      <c r="B8" s="57"/>
      <c r="C8" s="29"/>
      <c r="D8" s="29"/>
      <c r="E8" s="29"/>
      <c r="F8" s="29"/>
      <c r="G8" s="36"/>
      <c r="H8" s="2"/>
      <c r="I8" s="2"/>
      <c r="J8" s="2"/>
      <c r="K8" s="2"/>
      <c r="L8" s="2"/>
      <c r="M8" s="2"/>
      <c r="N8" s="38"/>
      <c r="Q8" s="28"/>
      <c r="R8" s="32"/>
    </row>
    <row r="9" spans="1:18" x14ac:dyDescent="0.25">
      <c r="A9" s="29"/>
      <c r="B9" s="57"/>
      <c r="C9" s="29"/>
      <c r="D9" s="29"/>
      <c r="E9" s="29"/>
      <c r="F9" s="29"/>
      <c r="G9" s="36"/>
      <c r="H9" s="35" t="s">
        <v>7</v>
      </c>
      <c r="I9" s="192" t="s">
        <v>33</v>
      </c>
      <c r="J9" s="193"/>
      <c r="K9" s="25" t="s">
        <v>19</v>
      </c>
      <c r="L9" s="194" t="str">
        <f>IFERROR(VLOOKUP(I9,Produtos!B9:E26,2,0),"-")</f>
        <v>-</v>
      </c>
      <c r="M9" s="195"/>
      <c r="N9" s="39"/>
      <c r="R9" s="32"/>
    </row>
    <row r="10" spans="1:18" x14ac:dyDescent="0.25">
      <c r="A10" s="29"/>
      <c r="B10" s="57"/>
      <c r="C10" s="29"/>
      <c r="D10" s="29"/>
      <c r="E10" s="29"/>
      <c r="F10" s="29"/>
      <c r="G10" s="36"/>
      <c r="H10" s="35"/>
      <c r="I10" s="20"/>
      <c r="J10" s="9"/>
      <c r="K10" s="9"/>
      <c r="L10" s="9"/>
      <c r="M10" s="9"/>
      <c r="N10" s="38"/>
      <c r="R10" s="32"/>
    </row>
    <row r="11" spans="1:18" x14ac:dyDescent="0.25">
      <c r="A11" s="29"/>
      <c r="B11" s="57"/>
      <c r="C11" s="29"/>
      <c r="D11" s="29"/>
      <c r="E11" s="29"/>
      <c r="F11" s="29"/>
      <c r="G11" s="36"/>
      <c r="H11" s="35" t="s">
        <v>4</v>
      </c>
      <c r="I11" s="196" t="str">
        <f>IFERROR(VLOOKUP(I9,Produtos!B9:E26,3,0),"-")</f>
        <v>-</v>
      </c>
      <c r="J11" s="197"/>
      <c r="K11" s="197"/>
      <c r="L11" s="197"/>
      <c r="M11" s="198"/>
      <c r="N11" s="39"/>
      <c r="R11" s="32"/>
    </row>
    <row r="12" spans="1:18" x14ac:dyDescent="0.25">
      <c r="A12" s="29"/>
      <c r="B12" s="57"/>
      <c r="C12" s="29"/>
      <c r="D12" s="29"/>
      <c r="E12" s="29"/>
      <c r="F12" s="29"/>
      <c r="G12" s="36"/>
      <c r="H12" s="35"/>
      <c r="I12" s="20"/>
      <c r="J12" s="20"/>
      <c r="K12" s="20"/>
      <c r="L12" s="20"/>
      <c r="M12" s="20"/>
      <c r="N12" s="38"/>
      <c r="R12" s="32"/>
    </row>
    <row r="13" spans="1:18" x14ac:dyDescent="0.25">
      <c r="A13" s="29"/>
      <c r="B13" s="57"/>
      <c r="C13" s="29"/>
      <c r="D13" s="29"/>
      <c r="E13" s="51" t="s">
        <v>22</v>
      </c>
      <c r="F13" s="42"/>
      <c r="G13" s="41"/>
      <c r="H13" s="35" t="s">
        <v>1</v>
      </c>
      <c r="I13" s="34" t="str">
        <f>IFERROR(VLOOKUP(I9,Produtos!B9:E26,4,0),"-")</f>
        <v>-</v>
      </c>
      <c r="J13" s="21"/>
      <c r="K13" s="9"/>
      <c r="L13" s="9"/>
      <c r="M13" s="9"/>
      <c r="N13" s="38"/>
      <c r="R13" s="32"/>
    </row>
    <row r="14" spans="1:18" x14ac:dyDescent="0.25">
      <c r="A14" s="2"/>
      <c r="B14" s="3"/>
      <c r="C14" s="26"/>
      <c r="D14" s="28"/>
      <c r="E14" s="199" t="s">
        <v>21</v>
      </c>
      <c r="F14" s="200"/>
      <c r="G14" s="22"/>
      <c r="H14" s="15"/>
      <c r="I14" s="37"/>
      <c r="J14" s="17"/>
      <c r="K14" s="17"/>
      <c r="L14" s="17"/>
      <c r="M14" s="17"/>
      <c r="N14" s="40"/>
      <c r="R14" s="32"/>
    </row>
    <row r="15" spans="1:18" x14ac:dyDescent="0.25">
      <c r="A15" s="2"/>
      <c r="B15" s="3"/>
      <c r="C15" s="27"/>
      <c r="D15" s="28"/>
      <c r="E15" s="189"/>
      <c r="F15" s="190"/>
      <c r="G15" s="2"/>
      <c r="H15" s="2"/>
      <c r="I15" s="2"/>
      <c r="J15" s="2"/>
      <c r="K15" s="2"/>
      <c r="L15" s="2"/>
      <c r="M15" s="2"/>
      <c r="N15" s="2"/>
      <c r="P15" s="46"/>
      <c r="Q15" s="46"/>
      <c r="R15" s="32"/>
    </row>
    <row r="16" spans="1:18" ht="17.25" x14ac:dyDescent="0.3">
      <c r="A16" s="2"/>
      <c r="B16" s="3"/>
      <c r="C16" s="27"/>
      <c r="D16" s="205"/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32"/>
      <c r="P16" s="206" t="s">
        <v>23</v>
      </c>
      <c r="Q16" s="207"/>
      <c r="R16" s="32"/>
    </row>
    <row r="17" spans="1:18" ht="18.75" x14ac:dyDescent="0.25">
      <c r="A17" s="2"/>
      <c r="B17" s="3"/>
      <c r="C17" s="23" t="s">
        <v>3</v>
      </c>
      <c r="D17" s="23" t="s">
        <v>5</v>
      </c>
      <c r="E17" s="208" t="s">
        <v>4</v>
      </c>
      <c r="F17" s="208"/>
      <c r="G17" s="23" t="s">
        <v>1</v>
      </c>
      <c r="H17" s="23" t="s">
        <v>20</v>
      </c>
      <c r="I17" s="23" t="s">
        <v>2</v>
      </c>
      <c r="J17" s="3"/>
      <c r="K17" s="209" t="s">
        <v>2</v>
      </c>
      <c r="L17" s="210"/>
      <c r="M17" s="210"/>
      <c r="N17" s="211"/>
      <c r="O17" s="47"/>
      <c r="P17" s="212"/>
      <c r="Q17" s="213"/>
      <c r="R17" s="32"/>
    </row>
    <row r="18" spans="1:18" ht="15" hidden="1" customHeight="1" x14ac:dyDescent="0.25">
      <c r="B18" s="3"/>
      <c r="C18" s="10" t="str">
        <f>IFERROR(VLOOKUP(D18,Produtos!B9:E26,2,0),"-")</f>
        <v>-</v>
      </c>
      <c r="D18" s="14"/>
      <c r="E18" s="201" t="str">
        <f>IFERROR(VLOOKUP(D18,Produtos!B9:E26,3,0),"-")</f>
        <v>-</v>
      </c>
      <c r="F18" s="201"/>
      <c r="G18" s="11" t="str">
        <f>IFERROR(VLOOKUP(D18,Produtos!B9:E26,4,0),"0")</f>
        <v>0</v>
      </c>
      <c r="H18" s="12"/>
      <c r="I18" s="13">
        <f>H18*G18</f>
        <v>0</v>
      </c>
      <c r="J18" s="8"/>
      <c r="K18" s="24"/>
      <c r="L18" s="24"/>
      <c r="M18" s="24"/>
      <c r="N18" s="2"/>
      <c r="O18" s="48"/>
      <c r="P18" s="49"/>
      <c r="Q18" s="50"/>
      <c r="R18" s="32"/>
    </row>
    <row r="19" spans="1:18" ht="17.25" x14ac:dyDescent="0.3">
      <c r="A19" s="2"/>
      <c r="B19" s="3"/>
      <c r="C19" s="3"/>
      <c r="D19" s="3"/>
      <c r="E19" s="3"/>
      <c r="F19" s="3"/>
      <c r="G19" s="3"/>
      <c r="H19" s="3"/>
      <c r="I19" s="3"/>
      <c r="J19" s="3"/>
      <c r="K19" s="217">
        <f>SUBTOTAL(109,I19:I92)</f>
        <v>0</v>
      </c>
      <c r="L19" s="218"/>
      <c r="M19" s="218"/>
      <c r="N19" s="219"/>
      <c r="O19" s="47"/>
      <c r="P19" s="52" t="s">
        <v>22</v>
      </c>
      <c r="Q19" s="53"/>
      <c r="R19" s="32"/>
    </row>
    <row r="20" spans="1:18" x14ac:dyDescent="0.25">
      <c r="A20" s="2"/>
      <c r="B20" s="3"/>
      <c r="C20" s="2"/>
      <c r="D20" s="2"/>
      <c r="E20" s="2"/>
      <c r="F20" s="2"/>
      <c r="G20" s="2"/>
      <c r="H20" s="2"/>
      <c r="I20" s="2"/>
      <c r="J20" s="3"/>
      <c r="K20" s="2"/>
      <c r="L20" s="2"/>
      <c r="M20" s="2"/>
      <c r="R20" s="32"/>
    </row>
    <row r="21" spans="1:18" x14ac:dyDescent="0.25">
      <c r="A21" s="2"/>
      <c r="B21" s="3"/>
      <c r="C21" s="2"/>
      <c r="D21" s="2"/>
      <c r="E21" s="2"/>
      <c r="F21" s="2"/>
      <c r="G21" s="2"/>
      <c r="H21" s="2"/>
      <c r="I21" s="2"/>
      <c r="J21" s="3"/>
      <c r="K21" s="2"/>
      <c r="L21" s="2"/>
      <c r="M21" s="2"/>
      <c r="R21" s="32"/>
    </row>
    <row r="22" spans="1:18" x14ac:dyDescent="0.25">
      <c r="A22" s="2"/>
      <c r="B22" s="3"/>
      <c r="C22" s="2"/>
      <c r="D22" s="2"/>
      <c r="E22" s="2"/>
      <c r="F22" s="2"/>
      <c r="G22" s="2"/>
      <c r="H22" s="2"/>
      <c r="I22" s="2"/>
      <c r="J22" s="3"/>
      <c r="K22" s="2"/>
      <c r="L22" s="2"/>
      <c r="M22" s="2"/>
      <c r="R22" s="32"/>
    </row>
    <row r="23" spans="1:18" x14ac:dyDescent="0.25">
      <c r="A23" s="2"/>
      <c r="B23" s="3"/>
      <c r="C23" s="2"/>
      <c r="D23" s="2"/>
      <c r="E23" s="2"/>
      <c r="F23" s="2"/>
      <c r="G23" s="2"/>
      <c r="H23" s="2"/>
      <c r="I23" s="2"/>
      <c r="J23" s="3"/>
      <c r="K23" s="2"/>
      <c r="L23" s="2"/>
      <c r="M23" s="2"/>
      <c r="R23" s="32"/>
    </row>
    <row r="24" spans="1:18" x14ac:dyDescent="0.25">
      <c r="A24" s="2"/>
      <c r="B24" s="3"/>
      <c r="C24" s="2"/>
      <c r="D24" s="2"/>
      <c r="E24" s="2"/>
      <c r="F24" s="2"/>
      <c r="G24" s="2"/>
      <c r="H24" s="2"/>
      <c r="I24" s="2"/>
      <c r="J24" s="3"/>
      <c r="K24" s="2"/>
      <c r="L24" s="2"/>
      <c r="M24" s="2"/>
      <c r="R24" s="32"/>
    </row>
    <row r="25" spans="1:18" x14ac:dyDescent="0.25">
      <c r="A25" s="2"/>
      <c r="B25" s="3"/>
      <c r="C25" s="2"/>
      <c r="D25" s="2"/>
      <c r="E25" s="2"/>
      <c r="F25" s="2"/>
      <c r="G25" s="2"/>
      <c r="H25" s="2"/>
      <c r="I25" s="2"/>
      <c r="J25" s="3"/>
      <c r="K25" s="2"/>
      <c r="L25" s="2"/>
      <c r="M25" s="2"/>
      <c r="R25" s="32"/>
    </row>
    <row r="26" spans="1:18" x14ac:dyDescent="0.25">
      <c r="A26" s="2"/>
      <c r="B26" s="3"/>
      <c r="C26" s="2"/>
      <c r="D26" s="2"/>
      <c r="E26" s="2"/>
      <c r="F26" s="2"/>
      <c r="G26" s="2"/>
      <c r="H26" s="2"/>
      <c r="I26" s="2"/>
      <c r="J26" s="3"/>
      <c r="K26" s="2"/>
      <c r="L26" s="2"/>
      <c r="M26" s="2"/>
      <c r="R26" s="32"/>
    </row>
    <row r="27" spans="1:18" x14ac:dyDescent="0.25">
      <c r="A27" s="2"/>
      <c r="B27" s="3"/>
      <c r="C27" s="2"/>
      <c r="D27" s="2"/>
      <c r="E27" s="2"/>
      <c r="F27" s="2"/>
      <c r="G27" s="2"/>
      <c r="H27" s="2"/>
      <c r="I27" s="2"/>
      <c r="J27" s="3"/>
      <c r="K27" s="2"/>
      <c r="L27" s="2"/>
      <c r="M27" s="2"/>
      <c r="R27" s="32"/>
    </row>
    <row r="28" spans="1:18" x14ac:dyDescent="0.25">
      <c r="A28" s="2"/>
      <c r="B28" s="3"/>
      <c r="C28" s="2"/>
      <c r="D28" s="2"/>
      <c r="E28" s="2"/>
      <c r="F28" s="2"/>
      <c r="G28" s="2"/>
      <c r="H28" s="2"/>
      <c r="I28" s="2"/>
      <c r="J28" s="3"/>
      <c r="K28" s="2"/>
      <c r="L28" s="2"/>
      <c r="M28" s="2"/>
      <c r="R28" s="32"/>
    </row>
    <row r="29" spans="1:18" x14ac:dyDescent="0.25">
      <c r="A29" s="2"/>
      <c r="B29" s="3"/>
      <c r="C29" s="2"/>
      <c r="D29" s="2"/>
      <c r="E29" s="2"/>
      <c r="F29" s="2"/>
      <c r="G29" s="2"/>
      <c r="H29" s="2"/>
      <c r="I29" s="2"/>
      <c r="J29" s="3"/>
      <c r="K29" s="2"/>
      <c r="L29" s="2"/>
      <c r="M29" s="2"/>
      <c r="R29" s="32"/>
    </row>
    <row r="30" spans="1:18" x14ac:dyDescent="0.25">
      <c r="A30" s="2"/>
      <c r="B30" s="3"/>
      <c r="C30" s="2"/>
      <c r="D30" s="2"/>
      <c r="E30" s="2"/>
      <c r="F30" s="2"/>
      <c r="G30" s="2"/>
      <c r="H30" s="2"/>
      <c r="I30" s="2"/>
      <c r="J30" s="3"/>
      <c r="K30" s="2"/>
      <c r="L30" s="2"/>
      <c r="M30" s="2"/>
      <c r="R30" s="32"/>
    </row>
    <row r="31" spans="1:18" x14ac:dyDescent="0.25">
      <c r="A31" s="2"/>
      <c r="B31" s="3"/>
      <c r="C31" s="2"/>
      <c r="D31" s="2"/>
      <c r="E31" s="2"/>
      <c r="F31" s="2"/>
      <c r="G31" s="2"/>
      <c r="H31" s="2"/>
      <c r="I31" s="2"/>
      <c r="J31" s="3"/>
      <c r="K31" s="2"/>
      <c r="L31" s="2"/>
      <c r="M31" s="2"/>
      <c r="R31" s="32"/>
    </row>
    <row r="32" spans="1:18" x14ac:dyDescent="0.25">
      <c r="A32" s="2"/>
      <c r="B32" s="3"/>
      <c r="C32" s="2"/>
      <c r="D32" s="2"/>
      <c r="E32" s="2"/>
      <c r="F32" s="2"/>
      <c r="G32" s="2"/>
      <c r="H32" s="2"/>
      <c r="I32" s="2"/>
      <c r="J32" s="3"/>
      <c r="K32" s="2"/>
      <c r="L32" s="2"/>
      <c r="M32" s="2"/>
      <c r="R32" s="32"/>
    </row>
    <row r="33" spans="1:18" x14ac:dyDescent="0.25">
      <c r="A33" s="2"/>
      <c r="B33" s="3"/>
      <c r="C33" s="2"/>
      <c r="D33" s="2"/>
      <c r="E33" s="2"/>
      <c r="F33" s="2"/>
      <c r="G33" s="2"/>
      <c r="H33" s="2"/>
      <c r="I33" s="2"/>
      <c r="J33" s="3"/>
      <c r="K33" s="2"/>
      <c r="L33" s="2"/>
      <c r="M33" s="2"/>
      <c r="R33" s="32"/>
    </row>
    <row r="34" spans="1:18" x14ac:dyDescent="0.25">
      <c r="A34" s="2"/>
      <c r="B34" s="3"/>
      <c r="C34" s="2"/>
      <c r="D34" s="2"/>
      <c r="E34" s="2"/>
      <c r="F34" s="2"/>
      <c r="G34" s="2"/>
      <c r="H34" s="2"/>
      <c r="I34" s="2"/>
      <c r="J34" s="3"/>
      <c r="K34" s="2"/>
      <c r="L34" s="2"/>
      <c r="M34" s="2"/>
      <c r="R34" s="32"/>
    </row>
    <row r="35" spans="1:18" x14ac:dyDescent="0.25">
      <c r="A35" s="2"/>
      <c r="B35" s="3"/>
      <c r="C35" s="2"/>
      <c r="D35" s="2"/>
      <c r="E35" s="2"/>
      <c r="F35" s="2"/>
      <c r="G35" s="2"/>
      <c r="H35" s="2"/>
      <c r="I35" s="2"/>
      <c r="J35" s="3"/>
      <c r="K35" s="2"/>
      <c r="L35" s="2"/>
      <c r="M35" s="2"/>
      <c r="R35" s="32"/>
    </row>
    <row r="36" spans="1:18" x14ac:dyDescent="0.25">
      <c r="A36" s="2"/>
      <c r="B36" s="3"/>
      <c r="C36" s="2"/>
      <c r="D36" s="2"/>
      <c r="E36" s="2"/>
      <c r="F36" s="2"/>
      <c r="G36" s="2"/>
      <c r="H36" s="2"/>
      <c r="I36" s="2"/>
      <c r="J36" s="3"/>
      <c r="K36" s="2"/>
      <c r="L36" s="2"/>
      <c r="M36" s="2"/>
      <c r="R36" s="32"/>
    </row>
    <row r="37" spans="1:18" x14ac:dyDescent="0.25">
      <c r="A37" s="2"/>
      <c r="B37" s="3"/>
      <c r="C37" s="2"/>
      <c r="D37" s="2"/>
      <c r="E37" s="2"/>
      <c r="F37" s="2"/>
      <c r="G37" s="2"/>
      <c r="H37" s="2"/>
      <c r="I37" s="2"/>
      <c r="J37" s="3"/>
      <c r="K37" s="2"/>
      <c r="L37" s="2"/>
      <c r="M37" s="2"/>
      <c r="R37" s="32"/>
    </row>
    <row r="38" spans="1:18" x14ac:dyDescent="0.25">
      <c r="A38" s="2"/>
      <c r="B38" s="3"/>
      <c r="C38" s="2"/>
      <c r="D38" s="2"/>
      <c r="E38" s="2"/>
      <c r="F38" s="2"/>
      <c r="G38" s="2"/>
      <c r="H38" s="2"/>
      <c r="I38" s="2"/>
      <c r="J38" s="3"/>
      <c r="K38" s="2"/>
      <c r="L38" s="2"/>
      <c r="M38" s="2"/>
      <c r="R38" s="32"/>
    </row>
    <row r="39" spans="1:18" x14ac:dyDescent="0.25">
      <c r="A39" s="2"/>
      <c r="B39" s="3"/>
      <c r="C39" s="2"/>
      <c r="D39" s="2"/>
      <c r="E39" s="2"/>
      <c r="F39" s="2"/>
      <c r="G39" s="2"/>
      <c r="H39" s="2"/>
      <c r="I39" s="2"/>
      <c r="J39" s="3"/>
      <c r="K39" s="2"/>
      <c r="L39" s="2"/>
      <c r="M39" s="2"/>
      <c r="R39" s="32"/>
    </row>
    <row r="40" spans="1:18" x14ac:dyDescent="0.25">
      <c r="A40" s="2"/>
      <c r="B40" s="3"/>
      <c r="C40" s="2"/>
      <c r="D40" s="2"/>
      <c r="E40" s="2"/>
      <c r="F40" s="2"/>
      <c r="G40" s="2"/>
      <c r="H40" s="2"/>
      <c r="I40" s="2"/>
      <c r="J40" s="3"/>
      <c r="K40" s="2"/>
      <c r="L40" s="2"/>
      <c r="M40" s="2"/>
      <c r="R40" s="32"/>
    </row>
    <row r="41" spans="1:18" x14ac:dyDescent="0.25">
      <c r="A41" s="2"/>
      <c r="B41" s="3"/>
      <c r="C41" s="2"/>
      <c r="D41" s="2"/>
      <c r="E41" s="2"/>
      <c r="F41" s="2"/>
      <c r="G41" s="2"/>
      <c r="H41" s="2"/>
      <c r="I41" s="2"/>
      <c r="J41" s="3"/>
      <c r="K41" s="2"/>
      <c r="L41" s="2"/>
      <c r="M41" s="2"/>
      <c r="R41" s="32"/>
    </row>
    <row r="42" spans="1:18" x14ac:dyDescent="0.25">
      <c r="A42" s="2"/>
      <c r="B42" s="3"/>
      <c r="C42" s="2"/>
      <c r="D42" s="2"/>
      <c r="E42" s="2"/>
      <c r="F42" s="2"/>
      <c r="G42" s="2"/>
      <c r="H42" s="2"/>
      <c r="I42" s="2"/>
      <c r="J42" s="3"/>
      <c r="K42" s="2"/>
      <c r="L42" s="2"/>
      <c r="M42" s="2"/>
      <c r="R42" s="32"/>
    </row>
    <row r="43" spans="1:18" x14ac:dyDescent="0.25">
      <c r="A43" s="2"/>
      <c r="B43" s="3"/>
      <c r="C43" s="2"/>
      <c r="D43" s="2"/>
      <c r="E43" s="2"/>
      <c r="F43" s="2"/>
      <c r="G43" s="2"/>
      <c r="H43" s="2"/>
      <c r="I43" s="2"/>
      <c r="J43" s="3"/>
      <c r="K43" s="2"/>
      <c r="L43" s="2"/>
      <c r="M43" s="2"/>
      <c r="R43" s="32"/>
    </row>
    <row r="44" spans="1:18" x14ac:dyDescent="0.25">
      <c r="A44" s="2"/>
      <c r="B44" s="3"/>
      <c r="C44" s="2"/>
      <c r="D44" s="2"/>
      <c r="E44" s="2"/>
      <c r="F44" s="2"/>
      <c r="G44" s="2"/>
      <c r="H44" s="2"/>
      <c r="I44" s="2"/>
      <c r="J44" s="3"/>
      <c r="K44" s="2"/>
      <c r="L44" s="2"/>
      <c r="M44" s="2"/>
      <c r="R44" s="32"/>
    </row>
    <row r="45" spans="1:18" x14ac:dyDescent="0.25">
      <c r="A45" s="2"/>
      <c r="B45" s="3"/>
      <c r="C45" s="2"/>
      <c r="D45" s="2"/>
      <c r="E45" s="2"/>
      <c r="F45" s="2"/>
      <c r="G45" s="2"/>
      <c r="H45" s="2"/>
      <c r="I45" s="2"/>
      <c r="J45" s="3"/>
      <c r="K45" s="2"/>
      <c r="L45" s="2"/>
      <c r="M45" s="2"/>
      <c r="R45" s="32"/>
    </row>
    <row r="46" spans="1:18" x14ac:dyDescent="0.25">
      <c r="A46" s="2"/>
      <c r="B46" s="3"/>
      <c r="C46" s="2"/>
      <c r="D46" s="2"/>
      <c r="E46" s="2"/>
      <c r="F46" s="2"/>
      <c r="G46" s="2"/>
      <c r="H46" s="2"/>
      <c r="I46" s="2"/>
      <c r="J46" s="3"/>
      <c r="K46" s="2"/>
      <c r="L46" s="2"/>
      <c r="M46" s="2"/>
      <c r="R46" s="32"/>
    </row>
    <row r="47" spans="1:18" x14ac:dyDescent="0.25">
      <c r="A47" s="2"/>
      <c r="B47" s="3"/>
      <c r="C47" s="2"/>
      <c r="D47" s="2"/>
      <c r="E47" s="2"/>
      <c r="F47" s="2"/>
      <c r="G47" s="2"/>
      <c r="H47" s="2"/>
      <c r="I47" s="2"/>
      <c r="J47" s="3"/>
      <c r="K47" s="2"/>
      <c r="L47" s="2"/>
      <c r="M47" s="2"/>
      <c r="R47" s="32"/>
    </row>
    <row r="48" spans="1:18" x14ac:dyDescent="0.25">
      <c r="A48" s="2"/>
      <c r="B48" s="3"/>
      <c r="C48" s="2"/>
      <c r="D48" s="2"/>
      <c r="E48" s="2"/>
      <c r="F48" s="2"/>
      <c r="G48" s="2"/>
      <c r="H48" s="2"/>
      <c r="I48" s="2"/>
      <c r="J48" s="3"/>
      <c r="K48" s="2"/>
      <c r="L48" s="2"/>
      <c r="M48" s="2"/>
      <c r="R48" s="32"/>
    </row>
    <row r="49" spans="1:18" x14ac:dyDescent="0.25">
      <c r="A49" s="2"/>
      <c r="B49" s="3"/>
      <c r="C49" s="2"/>
      <c r="D49" s="2"/>
      <c r="E49" s="2"/>
      <c r="F49" s="2"/>
      <c r="G49" s="2"/>
      <c r="H49" s="2"/>
      <c r="I49" s="2"/>
      <c r="J49" s="3"/>
      <c r="K49" s="2"/>
      <c r="L49" s="2"/>
      <c r="M49" s="2"/>
      <c r="R49" s="32"/>
    </row>
    <row r="50" spans="1:18" x14ac:dyDescent="0.25">
      <c r="A50" s="2"/>
      <c r="B50" s="3"/>
      <c r="C50" s="2"/>
      <c r="D50" s="2"/>
      <c r="E50" s="2"/>
      <c r="F50" s="2"/>
      <c r="G50" s="2"/>
      <c r="H50" s="2"/>
      <c r="I50" s="2"/>
      <c r="J50" s="3"/>
      <c r="K50" s="2"/>
      <c r="L50" s="2"/>
      <c r="M50" s="2"/>
      <c r="R50" s="32"/>
    </row>
    <row r="51" spans="1:18" x14ac:dyDescent="0.25">
      <c r="A51" s="2"/>
      <c r="B51" s="3"/>
      <c r="C51" s="2"/>
      <c r="D51" s="2"/>
      <c r="E51" s="2"/>
      <c r="F51" s="2"/>
      <c r="G51" s="2"/>
      <c r="H51" s="2"/>
      <c r="I51" s="2"/>
      <c r="J51" s="3"/>
      <c r="K51" s="2"/>
      <c r="L51" s="2"/>
      <c r="M51" s="2"/>
      <c r="R51" s="32"/>
    </row>
    <row r="52" spans="1:18" x14ac:dyDescent="0.25">
      <c r="A52" s="2"/>
      <c r="B52" s="3"/>
      <c r="C52" s="2"/>
      <c r="D52" s="2"/>
      <c r="E52" s="2"/>
      <c r="F52" s="2"/>
      <c r="G52" s="2"/>
      <c r="H52" s="2"/>
      <c r="I52" s="2"/>
      <c r="J52" s="3"/>
      <c r="K52" s="2"/>
      <c r="L52" s="2"/>
      <c r="M52" s="2"/>
      <c r="R52" s="32"/>
    </row>
    <row r="53" spans="1:18" x14ac:dyDescent="0.25">
      <c r="A53" s="2"/>
      <c r="B53" s="3"/>
      <c r="C53" s="2"/>
      <c r="D53" s="2"/>
      <c r="E53" s="2"/>
      <c r="F53" s="2"/>
      <c r="G53" s="2"/>
      <c r="H53" s="2"/>
      <c r="I53" s="2"/>
      <c r="J53" s="3"/>
      <c r="K53" s="2"/>
      <c r="L53" s="2"/>
      <c r="M53" s="2"/>
      <c r="R53" s="32"/>
    </row>
    <row r="54" spans="1:18" x14ac:dyDescent="0.25">
      <c r="A54" s="2"/>
      <c r="B54" s="3"/>
      <c r="C54" s="2"/>
      <c r="D54" s="2"/>
      <c r="E54" s="2"/>
      <c r="F54" s="2"/>
      <c r="G54" s="2"/>
      <c r="H54" s="2"/>
      <c r="I54" s="2"/>
      <c r="J54" s="3"/>
      <c r="K54" s="2"/>
      <c r="L54" s="2"/>
      <c r="M54" s="2"/>
      <c r="R54" s="32"/>
    </row>
    <row r="55" spans="1:18" x14ac:dyDescent="0.25">
      <c r="A55" s="2"/>
      <c r="B55" s="3"/>
      <c r="C55" s="2"/>
      <c r="D55" s="2"/>
      <c r="E55" s="2"/>
      <c r="F55" s="2"/>
      <c r="G55" s="2"/>
      <c r="H55" s="2"/>
      <c r="I55" s="2"/>
      <c r="J55" s="3"/>
      <c r="K55" s="2"/>
      <c r="L55" s="2"/>
      <c r="M55" s="2"/>
      <c r="R55" s="32"/>
    </row>
    <row r="56" spans="1:18" x14ac:dyDescent="0.25">
      <c r="A56" s="2"/>
      <c r="B56" s="3"/>
      <c r="C56" s="2"/>
      <c r="D56" s="2"/>
      <c r="E56" s="2"/>
      <c r="F56" s="2"/>
      <c r="G56" s="2"/>
      <c r="H56" s="2"/>
      <c r="I56" s="2"/>
      <c r="J56" s="3"/>
      <c r="K56" s="2"/>
      <c r="L56" s="2"/>
      <c r="M56" s="2"/>
      <c r="R56" s="32"/>
    </row>
    <row r="57" spans="1:18" x14ac:dyDescent="0.25">
      <c r="A57" s="2"/>
      <c r="B57" s="3"/>
      <c r="C57" s="2"/>
      <c r="D57" s="2"/>
      <c r="E57" s="2"/>
      <c r="F57" s="2"/>
      <c r="G57" s="2"/>
      <c r="H57" s="2"/>
      <c r="I57" s="2"/>
      <c r="J57" s="3"/>
      <c r="K57" s="2"/>
      <c r="L57" s="2"/>
      <c r="M57" s="2"/>
      <c r="R57" s="32"/>
    </row>
    <row r="58" spans="1:18" x14ac:dyDescent="0.25">
      <c r="C58" s="2"/>
      <c r="D58" s="2"/>
      <c r="E58" s="2"/>
      <c r="F58" s="2"/>
      <c r="G58" s="2"/>
      <c r="H58" s="2"/>
      <c r="I58" s="2"/>
    </row>
    <row r="59" spans="1:18" x14ac:dyDescent="0.25">
      <c r="C59" s="2"/>
      <c r="D59" s="2"/>
      <c r="E59" s="2"/>
      <c r="F59" s="2"/>
      <c r="G59" s="2"/>
      <c r="H59" s="2"/>
      <c r="I59" s="2"/>
    </row>
    <row r="60" spans="1:18" x14ac:dyDescent="0.25">
      <c r="C60" s="2"/>
      <c r="D60" s="2"/>
      <c r="E60" s="2"/>
      <c r="F60" s="2"/>
      <c r="G60" s="2"/>
      <c r="H60" s="2"/>
      <c r="I60" s="2"/>
    </row>
    <row r="61" spans="1:18" x14ac:dyDescent="0.25">
      <c r="C61" s="2"/>
      <c r="D61" s="2"/>
      <c r="E61" s="2"/>
      <c r="F61" s="2"/>
      <c r="G61" s="2"/>
      <c r="H61" s="2"/>
      <c r="I61" s="2"/>
    </row>
    <row r="62" spans="1:18" x14ac:dyDescent="0.25">
      <c r="C62" s="2"/>
      <c r="D62" s="2"/>
      <c r="E62" s="2"/>
      <c r="F62" s="2"/>
      <c r="G62" s="2"/>
      <c r="H62" s="2"/>
      <c r="I62" s="2"/>
    </row>
    <row r="63" spans="1:18" x14ac:dyDescent="0.25">
      <c r="C63" s="2"/>
      <c r="D63" s="2"/>
      <c r="E63" s="2"/>
      <c r="F63" s="2"/>
      <c r="G63" s="2"/>
      <c r="H63" s="2"/>
      <c r="I63" s="2"/>
    </row>
    <row r="64" spans="1:18" x14ac:dyDescent="0.25">
      <c r="C64" s="2"/>
      <c r="D64" s="2"/>
      <c r="E64" s="2"/>
      <c r="F64" s="2"/>
      <c r="G64" s="2"/>
      <c r="H64" s="2"/>
      <c r="I64" s="2"/>
    </row>
    <row r="65" spans="2:9" x14ac:dyDescent="0.25">
      <c r="C65" s="2"/>
      <c r="D65" s="2"/>
      <c r="E65" s="2"/>
      <c r="F65" s="2"/>
      <c r="G65" s="2"/>
      <c r="H65" s="2"/>
      <c r="I65" s="2"/>
    </row>
    <row r="66" spans="2:9" x14ac:dyDescent="0.25">
      <c r="C66" s="2"/>
      <c r="D66" s="2"/>
      <c r="E66" s="2"/>
      <c r="F66" s="2"/>
      <c r="G66" s="2"/>
      <c r="H66" s="2"/>
      <c r="I66" s="2"/>
    </row>
    <row r="67" spans="2:9" x14ac:dyDescent="0.25">
      <c r="B67" s="2"/>
      <c r="C67" s="2"/>
      <c r="D67" s="2"/>
      <c r="E67" s="2"/>
      <c r="F67" s="2"/>
      <c r="G67" s="2"/>
      <c r="H67" s="2"/>
      <c r="I67" s="2"/>
    </row>
    <row r="68" spans="2:9" x14ac:dyDescent="0.25">
      <c r="B68" s="2"/>
      <c r="C68" s="2"/>
      <c r="D68" s="2"/>
      <c r="E68" s="2"/>
      <c r="F68" s="2"/>
      <c r="G68" s="2"/>
      <c r="H68" s="2"/>
      <c r="I68" s="2"/>
    </row>
    <row r="69" spans="2:9" x14ac:dyDescent="0.25">
      <c r="C69" s="2"/>
      <c r="D69" s="2"/>
      <c r="E69" s="2"/>
      <c r="F69" s="2"/>
      <c r="G69" s="2"/>
      <c r="H69" s="2"/>
      <c r="I69" s="2"/>
    </row>
    <row r="70" spans="2:9" x14ac:dyDescent="0.25">
      <c r="C70" s="2"/>
      <c r="D70" s="2"/>
      <c r="E70" s="2"/>
      <c r="F70" s="2"/>
      <c r="G70" s="2"/>
      <c r="H70" s="2"/>
      <c r="I70" s="2"/>
    </row>
    <row r="71" spans="2:9" x14ac:dyDescent="0.25">
      <c r="C71" s="2"/>
      <c r="D71" s="2"/>
      <c r="E71" s="2"/>
      <c r="F71" s="2"/>
      <c r="G71" s="2"/>
      <c r="H71" s="2"/>
      <c r="I71" s="2"/>
    </row>
    <row r="72" spans="2:9" x14ac:dyDescent="0.25">
      <c r="C72" s="2"/>
      <c r="D72" s="2"/>
      <c r="E72" s="2"/>
      <c r="F72" s="2"/>
      <c r="G72" s="2"/>
      <c r="H72" s="2"/>
      <c r="I72" s="2"/>
    </row>
    <row r="73" spans="2:9" x14ac:dyDescent="0.25">
      <c r="C73" s="2"/>
      <c r="D73" s="2"/>
      <c r="E73" s="2"/>
      <c r="F73" s="2"/>
      <c r="G73" s="2"/>
      <c r="H73" s="2"/>
      <c r="I73" s="2"/>
    </row>
    <row r="74" spans="2:9" x14ac:dyDescent="0.25">
      <c r="C74" s="2"/>
      <c r="D74" s="2"/>
      <c r="E74" s="2"/>
      <c r="F74" s="2"/>
      <c r="G74" s="2"/>
      <c r="H74" s="2"/>
      <c r="I74" s="2"/>
    </row>
    <row r="75" spans="2:9" x14ac:dyDescent="0.25">
      <c r="C75" s="2"/>
      <c r="D75" s="2"/>
      <c r="E75" s="2"/>
      <c r="F75" s="2"/>
      <c r="G75" s="2"/>
      <c r="H75" s="2"/>
      <c r="I75" s="2"/>
    </row>
    <row r="76" spans="2:9" x14ac:dyDescent="0.25">
      <c r="C76" s="2"/>
      <c r="D76" s="2"/>
      <c r="E76" s="2"/>
      <c r="F76" s="2"/>
      <c r="G76" s="2"/>
      <c r="H76" s="2"/>
      <c r="I76" s="2"/>
    </row>
    <row r="77" spans="2:9" x14ac:dyDescent="0.25">
      <c r="C77" s="2"/>
      <c r="D77" s="2"/>
      <c r="E77" s="2"/>
      <c r="F77" s="2"/>
      <c r="G77" s="2"/>
      <c r="H77" s="2"/>
      <c r="I77" s="2"/>
    </row>
    <row r="78" spans="2:9" x14ac:dyDescent="0.25">
      <c r="C78" s="2"/>
      <c r="D78" s="2"/>
      <c r="E78" s="2"/>
      <c r="F78" s="2"/>
      <c r="G78" s="2"/>
      <c r="H78" s="2"/>
      <c r="I78" s="2"/>
    </row>
    <row r="79" spans="2:9" x14ac:dyDescent="0.25">
      <c r="C79" s="2"/>
      <c r="D79" s="2"/>
      <c r="E79" s="2"/>
      <c r="F79" s="2"/>
      <c r="G79" s="2"/>
      <c r="H79" s="2"/>
      <c r="I79" s="2"/>
    </row>
    <row r="80" spans="2:9" x14ac:dyDescent="0.25">
      <c r="C80" s="2"/>
      <c r="D80" s="2"/>
      <c r="E80" s="2"/>
      <c r="F80" s="2"/>
      <c r="G80" s="2"/>
      <c r="H80" s="2"/>
      <c r="I80" s="2"/>
    </row>
    <row r="81" spans="3:9" x14ac:dyDescent="0.25">
      <c r="C81" s="2"/>
      <c r="D81" s="2"/>
      <c r="E81" s="2"/>
      <c r="F81" s="2"/>
      <c r="G81" s="2"/>
      <c r="H81" s="2"/>
      <c r="I81" s="2"/>
    </row>
    <row r="82" spans="3:9" x14ac:dyDescent="0.25">
      <c r="C82" s="2"/>
      <c r="D82" s="2"/>
      <c r="E82" s="2"/>
      <c r="F82" s="2"/>
      <c r="G82" s="2"/>
      <c r="H82" s="2"/>
      <c r="I82" s="2"/>
    </row>
    <row r="83" spans="3:9" x14ac:dyDescent="0.25">
      <c r="C83" s="2"/>
      <c r="D83" s="2"/>
      <c r="E83" s="2"/>
      <c r="F83" s="2"/>
      <c r="G83" s="2"/>
      <c r="H83" s="2"/>
      <c r="I83" s="2"/>
    </row>
    <row r="84" spans="3:9" x14ac:dyDescent="0.25">
      <c r="C84" s="2"/>
      <c r="D84" s="2"/>
      <c r="E84" s="2"/>
      <c r="F84" s="2"/>
      <c r="G84" s="2"/>
      <c r="H84" s="2"/>
      <c r="I84" s="2"/>
    </row>
    <row r="85" spans="3:9" x14ac:dyDescent="0.25">
      <c r="C85" s="2"/>
      <c r="D85" s="2"/>
      <c r="E85" s="2"/>
      <c r="F85" s="2"/>
      <c r="G85" s="2"/>
      <c r="H85" s="2"/>
      <c r="I85" s="2"/>
    </row>
    <row r="86" spans="3:9" x14ac:dyDescent="0.25">
      <c r="C86" s="2"/>
      <c r="D86" s="2"/>
      <c r="E86" s="2"/>
      <c r="F86" s="2"/>
      <c r="G86" s="2"/>
      <c r="H86" s="2"/>
      <c r="I86" s="2"/>
    </row>
    <row r="87" spans="3:9" x14ac:dyDescent="0.25">
      <c r="C87" s="2"/>
      <c r="D87" s="2"/>
      <c r="E87" s="2"/>
      <c r="F87" s="2"/>
      <c r="G87" s="2"/>
      <c r="H87" s="2"/>
      <c r="I87" s="2"/>
    </row>
    <row r="88" spans="3:9" x14ac:dyDescent="0.25">
      <c r="C88" s="2"/>
      <c r="D88" s="2"/>
      <c r="E88" s="2"/>
      <c r="F88" s="2"/>
      <c r="G88" s="2"/>
      <c r="H88" s="2"/>
      <c r="I88" s="2"/>
    </row>
    <row r="89" spans="3:9" x14ac:dyDescent="0.25">
      <c r="C89" s="2"/>
      <c r="D89" s="2"/>
      <c r="E89" s="2"/>
      <c r="F89" s="2"/>
    </row>
    <row r="90" spans="3:9" x14ac:dyDescent="0.25">
      <c r="C90" s="2"/>
      <c r="D90" s="2"/>
      <c r="E90" s="2"/>
      <c r="F90" s="2"/>
    </row>
    <row r="91" spans="3:9" x14ac:dyDescent="0.25">
      <c r="C91" s="2"/>
      <c r="D91" s="2"/>
      <c r="E91" s="2"/>
      <c r="F91" s="2"/>
    </row>
    <row r="92" spans="3:9" x14ac:dyDescent="0.25">
      <c r="C92" s="2"/>
      <c r="D92" s="2"/>
      <c r="E92" s="2"/>
      <c r="F92" s="2"/>
    </row>
    <row r="93" spans="3:9" x14ac:dyDescent="0.25">
      <c r="C93" s="2"/>
      <c r="D93" s="2"/>
      <c r="E93" s="2"/>
      <c r="F93" s="2"/>
    </row>
    <row r="94" spans="3:9" x14ac:dyDescent="0.25">
      <c r="C94" s="2"/>
      <c r="D94" s="2"/>
      <c r="E94" s="2"/>
      <c r="F94" s="2"/>
    </row>
    <row r="95" spans="3:9" x14ac:dyDescent="0.25">
      <c r="C95" s="2"/>
      <c r="D95" s="2"/>
      <c r="E95" s="2"/>
      <c r="F95" s="2"/>
    </row>
    <row r="96" spans="3:9" x14ac:dyDescent="0.25">
      <c r="C96" s="2"/>
      <c r="D96" s="2"/>
      <c r="E96" s="2"/>
      <c r="F96" s="2"/>
    </row>
    <row r="97" spans="3:7" x14ac:dyDescent="0.25">
      <c r="C97" s="2"/>
      <c r="D97" s="2"/>
      <c r="E97" s="2"/>
      <c r="F97" s="2"/>
    </row>
    <row r="98" spans="3:7" x14ac:dyDescent="0.25">
      <c r="C98" s="2"/>
      <c r="D98" s="2"/>
      <c r="E98" s="2"/>
      <c r="F98" s="2"/>
      <c r="G98" s="2"/>
    </row>
    <row r="99" spans="3:7" x14ac:dyDescent="0.25">
      <c r="C99" s="2"/>
      <c r="D99" s="2"/>
      <c r="E99" s="2"/>
      <c r="F99" s="2"/>
      <c r="G99" s="2"/>
    </row>
    <row r="100" spans="3:7" x14ac:dyDescent="0.25">
      <c r="C100" s="2"/>
      <c r="D100" s="2"/>
      <c r="E100" s="2"/>
      <c r="F100" s="2"/>
    </row>
    <row r="101" spans="3:7" x14ac:dyDescent="0.25">
      <c r="C101" s="2"/>
      <c r="D101" s="2"/>
      <c r="E101" s="2"/>
      <c r="F101" s="2"/>
    </row>
    <row r="102" spans="3:7" x14ac:dyDescent="0.25">
      <c r="C102" s="2"/>
      <c r="D102" s="2"/>
      <c r="E102" s="2"/>
      <c r="F102" s="2"/>
    </row>
    <row r="103" spans="3:7" x14ac:dyDescent="0.25">
      <c r="C103" s="2"/>
      <c r="D103" s="2"/>
      <c r="E103" s="2"/>
      <c r="F103" s="2"/>
    </row>
    <row r="104" spans="3:7" x14ac:dyDescent="0.25">
      <c r="C104" s="2"/>
      <c r="D104" s="2"/>
      <c r="E104" s="2"/>
      <c r="F104" s="2"/>
    </row>
    <row r="105" spans="3:7" x14ac:dyDescent="0.25">
      <c r="C105" s="2"/>
      <c r="D105" s="2"/>
      <c r="E105" s="2"/>
      <c r="F105" s="2"/>
    </row>
    <row r="173" spans="3:5" x14ac:dyDescent="0.25">
      <c r="C173" s="2"/>
      <c r="D173" s="2"/>
      <c r="E173" s="2"/>
    </row>
    <row r="174" spans="3:5" x14ac:dyDescent="0.25">
      <c r="C174" s="2"/>
      <c r="D174" s="2"/>
      <c r="E174" s="2"/>
    </row>
  </sheetData>
  <autoFilter ref="C17:H17">
    <filterColumn colId="2" showButton="0"/>
  </autoFilter>
  <mergeCells count="13">
    <mergeCell ref="E15:F15"/>
    <mergeCell ref="E2:G2"/>
    <mergeCell ref="I9:J9"/>
    <mergeCell ref="L9:M9"/>
    <mergeCell ref="I11:M11"/>
    <mergeCell ref="E14:F14"/>
    <mergeCell ref="K19:N19"/>
    <mergeCell ref="D16:N16"/>
    <mergeCell ref="P16:Q16"/>
    <mergeCell ref="E17:F17"/>
    <mergeCell ref="K17:N17"/>
    <mergeCell ref="P17:Q17"/>
    <mergeCell ref="E18:F18"/>
  </mergeCells>
  <phoneticPr fontId="0" type="noConversion"/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B19"/>
  <sheetViews>
    <sheetView showRowColHeaders="0" workbookViewId="0">
      <pane ySplit="81" topLeftCell="A103" activePane="bottomLeft" state="frozen"/>
      <selection pane="bottomLeft" sqref="A1:XFD1048576"/>
    </sheetView>
  </sheetViews>
  <sheetFormatPr defaultRowHeight="15" x14ac:dyDescent="0.25"/>
  <cols>
    <col min="1" max="16384" width="9.140625" style="59"/>
  </cols>
  <sheetData>
    <row r="1" spans="2:2" s="128" customFormat="1" x14ac:dyDescent="0.25"/>
    <row r="5" spans="2:2" ht="18.75" x14ac:dyDescent="0.3">
      <c r="B5" s="134" t="s">
        <v>54</v>
      </c>
    </row>
    <row r="6" spans="2:2" x14ac:dyDescent="0.25">
      <c r="B6" s="59" t="s">
        <v>55</v>
      </c>
    </row>
    <row r="8" spans="2:2" x14ac:dyDescent="0.25">
      <c r="B8" s="59" t="s">
        <v>58</v>
      </c>
    </row>
    <row r="9" spans="2:2" x14ac:dyDescent="0.25">
      <c r="B9" s="59" t="s">
        <v>62</v>
      </c>
    </row>
    <row r="11" spans="2:2" x14ac:dyDescent="0.25">
      <c r="B11" s="59" t="s">
        <v>59</v>
      </c>
    </row>
    <row r="13" spans="2:2" x14ac:dyDescent="0.25">
      <c r="B13" s="59" t="s">
        <v>60</v>
      </c>
    </row>
    <row r="14" spans="2:2" x14ac:dyDescent="0.25">
      <c r="B14" s="59" t="s">
        <v>56</v>
      </c>
    </row>
    <row r="16" spans="2:2" x14ac:dyDescent="0.25">
      <c r="B16" s="59" t="s">
        <v>61</v>
      </c>
    </row>
    <row r="18" spans="2:2" x14ac:dyDescent="0.25">
      <c r="B18" s="59" t="s">
        <v>63</v>
      </c>
    </row>
    <row r="19" spans="2:2" x14ac:dyDescent="0.25">
      <c r="B19" s="59" t="s">
        <v>57</v>
      </c>
    </row>
  </sheetData>
  <sheetProtection password="C71F" sheet="1" objects="1" scenarios="1" selectLockedCells="1"/>
  <phoneticPr fontId="0" type="noConversion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19</vt:i4>
      </vt:variant>
    </vt:vector>
  </HeadingPairs>
  <TitlesOfParts>
    <vt:vector size="19" baseType="lpstr">
      <vt:lpstr>Menu</vt:lpstr>
      <vt:lpstr>Produtos</vt:lpstr>
      <vt:lpstr>Compras</vt:lpstr>
      <vt:lpstr>Forma de Pag.</vt:lpstr>
      <vt:lpstr>Fornecedores</vt:lpstr>
      <vt:lpstr>Embeu</vt:lpstr>
      <vt:lpstr>Coca Cola</vt:lpstr>
      <vt:lpstr>Nova Skin</vt:lpstr>
      <vt:lpstr>Novo1</vt:lpstr>
      <vt:lpstr>Novo2</vt:lpstr>
      <vt:lpstr>Novo3</vt:lpstr>
      <vt:lpstr>Novo4</vt:lpstr>
      <vt:lpstr>Novo5</vt:lpstr>
      <vt:lpstr>Novo6</vt:lpstr>
      <vt:lpstr>Novo7</vt:lpstr>
      <vt:lpstr>Novo8</vt:lpstr>
      <vt:lpstr>Novo9</vt:lpstr>
      <vt:lpstr>Novo10</vt:lpstr>
      <vt:lpstr>Ajuda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Durval Júnior</dc:creator>
  <cp:lastModifiedBy>User</cp:lastModifiedBy>
  <dcterms:created xsi:type="dcterms:W3CDTF">2014-02-07T16:01:13Z</dcterms:created>
  <dcterms:modified xsi:type="dcterms:W3CDTF">2015-01-08T17:25:26Z</dcterms:modified>
</cp:coreProperties>
</file>