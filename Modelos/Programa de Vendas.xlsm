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F:\Minhas Planilhas\"/>
    </mc:Choice>
  </mc:AlternateContent>
  <bookViews>
    <workbookView showSheetTabs="0" xWindow="240" yWindow="75" windowWidth="19320" windowHeight="7935" activeTab="4"/>
  </bookViews>
  <sheets>
    <sheet name="Menu" sheetId="14" r:id="rId1"/>
    <sheet name="Consultas" sheetId="12" r:id="rId2"/>
    <sheet name="Estoque" sheetId="1" r:id="rId3"/>
    <sheet name="Entradas" sheetId="4" r:id="rId4"/>
    <sheet name="Vendas" sheetId="5" r:id="rId5"/>
    <sheet name="Clientes" sheetId="11" r:id="rId6"/>
    <sheet name="Configuração" sheetId="13" r:id="rId7"/>
    <sheet name="Informaçães" sheetId="15" r:id="rId8"/>
    <sheet name="Ajuda" sheetId="16" r:id="rId9"/>
  </sheets>
  <externalReferences>
    <externalReference r:id="rId10"/>
  </externalReferences>
  <definedNames>
    <definedName name="_xlnm._FilterDatabase" localSheetId="5" hidden="1">Clientes!#REF!</definedName>
    <definedName name="lista_bancos">[1]Cheques!$A$76:$B$200</definedName>
    <definedName name="MEDIDAS">Configuração!$D:$D</definedName>
    <definedName name="TIPO">Configuração!$B:$B</definedName>
  </definedNames>
  <calcPr calcId="152511"/>
</workbook>
</file>

<file path=xl/calcChain.xml><?xml version="1.0" encoding="utf-8"?>
<calcChain xmlns="http://schemas.openxmlformats.org/spreadsheetml/2006/main">
  <c r="B6" i="4" l="1"/>
  <c r="C6" i="4"/>
  <c r="D6" i="4"/>
  <c r="C9" i="12" l="1"/>
  <c r="G9" i="12"/>
  <c r="E9" i="12"/>
  <c r="B12" i="5" l="1"/>
  <c r="C12" i="5"/>
  <c r="D12" i="5"/>
  <c r="F12" i="5" s="1"/>
  <c r="J12" i="5"/>
  <c r="B13" i="5"/>
  <c r="C13" i="5"/>
  <c r="D13" i="5"/>
  <c r="F13" i="5" s="1"/>
  <c r="J13" i="5"/>
  <c r="B14" i="5"/>
  <c r="C14" i="5"/>
  <c r="D14" i="5"/>
  <c r="F14" i="5" s="1"/>
  <c r="J14" i="5"/>
  <c r="B15" i="5"/>
  <c r="C15" i="5"/>
  <c r="D15" i="5"/>
  <c r="F15" i="5" s="1"/>
  <c r="J15" i="5"/>
  <c r="B16" i="5"/>
  <c r="C16" i="5"/>
  <c r="D16" i="5"/>
  <c r="F16" i="5" s="1"/>
  <c r="J16" i="5"/>
  <c r="B17" i="5"/>
  <c r="C17" i="5"/>
  <c r="D17" i="5"/>
  <c r="F17" i="5"/>
  <c r="J17" i="5"/>
  <c r="B18" i="5"/>
  <c r="C18" i="5"/>
  <c r="D18" i="5"/>
  <c r="F18" i="5" s="1"/>
  <c r="J18" i="5"/>
  <c r="B19" i="5"/>
  <c r="C19" i="5"/>
  <c r="D19" i="5"/>
  <c r="F19" i="5" s="1"/>
  <c r="J19" i="5"/>
  <c r="B20" i="5"/>
  <c r="C20" i="5"/>
  <c r="D20" i="5"/>
  <c r="F20" i="5" s="1"/>
  <c r="J20" i="5"/>
  <c r="B21" i="5"/>
  <c r="C21" i="5"/>
  <c r="D21" i="5"/>
  <c r="F21" i="5"/>
  <c r="J21" i="5"/>
  <c r="E2" i="5" l="1"/>
  <c r="J7" i="5" l="1"/>
  <c r="N1" i="14"/>
  <c r="L3" i="12" l="1"/>
  <c r="B11" i="5" l="1"/>
  <c r="C11" i="5"/>
  <c r="D11" i="5"/>
  <c r="F11" i="5" s="1"/>
  <c r="C6" i="12"/>
  <c r="D4" i="5" l="1"/>
  <c r="F5" i="1"/>
  <c r="D5" i="4"/>
  <c r="C5" i="4" l="1"/>
  <c r="G5" i="1"/>
  <c r="B5" i="4"/>
  <c r="H5" i="1" l="1"/>
  <c r="J11" i="5" l="1"/>
</calcChain>
</file>

<file path=xl/comments1.xml><?xml version="1.0" encoding="utf-8"?>
<comments xmlns="http://schemas.openxmlformats.org/spreadsheetml/2006/main">
  <authors>
    <author>User</author>
  </authors>
  <commentList>
    <comment ref="K8" authorId="0" shapeId="0">
      <text>
        <r>
          <rPr>
            <b/>
            <sz val="8"/>
            <color indexed="81"/>
            <rFont val="Tahoma"/>
            <family val="2"/>
          </rPr>
          <t xml:space="preserve">Lembrete: Após usar o filtro de pesquisa, a sequência será a linha 12
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User</author>
  </authors>
  <commentList>
    <comment ref="E1" authorId="0" shapeId="0">
      <text>
        <r>
          <rPr>
            <sz val="8"/>
            <color indexed="81"/>
            <rFont val="Tahoma"/>
            <family val="2"/>
          </rPr>
          <t xml:space="preserve">Para inseri novo cliente clique na ultíma linha da pan lado direito e aperte a tecla TAB
</t>
        </r>
      </text>
    </comment>
  </commentList>
</comments>
</file>

<file path=xl/sharedStrings.xml><?xml version="1.0" encoding="utf-8"?>
<sst xmlns="http://schemas.openxmlformats.org/spreadsheetml/2006/main" count="69" uniqueCount="54">
  <si>
    <t>SKU</t>
  </si>
  <si>
    <t>Descrição</t>
  </si>
  <si>
    <t>Entradas</t>
  </si>
  <si>
    <t>Saídas</t>
  </si>
  <si>
    <t>Saldo</t>
  </si>
  <si>
    <t>Quantidade</t>
  </si>
  <si>
    <t>Data</t>
  </si>
  <si>
    <t>Unidade</t>
  </si>
  <si>
    <t>Pacote</t>
  </si>
  <si>
    <t>Peça</t>
  </si>
  <si>
    <t>Metro</t>
  </si>
  <si>
    <t>Gramas</t>
  </si>
  <si>
    <t>Medição</t>
  </si>
  <si>
    <t>Caixa</t>
  </si>
  <si>
    <t>Resma</t>
  </si>
  <si>
    <t>Tipo</t>
  </si>
  <si>
    <t>Insumos</t>
  </si>
  <si>
    <t>Equipamentos</t>
  </si>
  <si>
    <t>Quilo</t>
  </si>
  <si>
    <t>Medidas</t>
  </si>
  <si>
    <t>Preço de compra</t>
  </si>
  <si>
    <t>Valor Unit.</t>
  </si>
  <si>
    <t>Total</t>
  </si>
  <si>
    <t>Cliente</t>
  </si>
  <si>
    <t>Saldo Est.</t>
  </si>
  <si>
    <t>Código</t>
  </si>
  <si>
    <t>Data Venc.</t>
  </si>
  <si>
    <t>Quant.</t>
  </si>
  <si>
    <t>Digite o Código</t>
  </si>
  <si>
    <t>Estoque total</t>
  </si>
  <si>
    <t>Alterar ou Incluir Dados</t>
  </si>
  <si>
    <t>CAIXA FINANCEIRO</t>
  </si>
  <si>
    <t>Durval Júnior</t>
  </si>
  <si>
    <t>Web design e programador</t>
  </si>
  <si>
    <t>Tel. 77-8116-6423</t>
  </si>
  <si>
    <t>Skype: Vipglobal</t>
  </si>
  <si>
    <t>E-mail: Juniossborges@hotmail.com</t>
  </si>
  <si>
    <t>ENTRADAS</t>
  </si>
  <si>
    <t>ESTOQUE</t>
  </si>
  <si>
    <t>CLIENTES</t>
  </si>
  <si>
    <t>CONFIGURAÇÃO</t>
  </si>
  <si>
    <t>CONTROLE DE VENDAS</t>
  </si>
  <si>
    <t>Data Inicial</t>
  </si>
  <si>
    <t>Colunas2</t>
  </si>
  <si>
    <t>Colunas3</t>
  </si>
  <si>
    <t>Colunas4</t>
  </si>
  <si>
    <t>Colunas5</t>
  </si>
  <si>
    <t>Colunas6</t>
  </si>
  <si>
    <t>Colunas7</t>
  </si>
  <si>
    <t>Colunas8</t>
  </si>
  <si>
    <t>Colunas9</t>
  </si>
  <si>
    <t>Pen Drive</t>
  </si>
  <si>
    <t>Site:</t>
  </si>
  <si>
    <t>www.planilhasvba.com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</si>
</sst>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-&quot;R$&quot;\ * #,##0.00_-;\-&quot;R$&quot;\ * #,##0.00_-;_-&quot;R$&quot;\ * &quot;-&quot;??_-;_-@_-"/>
    <numFmt numFmtId="164" formatCode="_(&quot;R$ &quot;* #,##0.00_);_(&quot;R$ &quot;* \(#,##0.00\);_(&quot;R$ &quot;* &quot;-&quot;??_);_(@_)"/>
    <numFmt numFmtId="165" formatCode="00000"/>
    <numFmt numFmtId="166" formatCode="&quot;R$ &quot;#,##0.00"/>
    <numFmt numFmtId="167" formatCode="dd/mm/yy;@"/>
    <numFmt numFmtId="168" formatCode="[$-F800]dddd\,\ mmmm\ dd\,\ yyyy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2"/>
      <color theme="3" tint="0.24994659260841701"/>
      <name val="Cambria"/>
      <family val="2"/>
      <scheme val="major"/>
    </font>
    <font>
      <sz val="10"/>
      <name val="Calibri"/>
      <family val="2"/>
      <scheme val="minor"/>
    </font>
    <font>
      <sz val="12"/>
      <color indexed="8"/>
      <name val="Arial"/>
      <family val="2"/>
    </font>
    <font>
      <b/>
      <sz val="16"/>
      <color theme="3" tint="0.749961851863155"/>
      <name val="Calibri"/>
      <family val="2"/>
      <scheme val="minor"/>
    </font>
    <font>
      <b/>
      <sz val="24"/>
      <color theme="5" tint="-0.24994659260841701"/>
      <name val="Cambria"/>
      <family val="2"/>
      <scheme val="major"/>
    </font>
    <font>
      <b/>
      <sz val="14"/>
      <color theme="3" tint="0.24994659260841701"/>
      <name val="Cambria"/>
      <family val="2"/>
      <scheme val="major"/>
    </font>
    <font>
      <b/>
      <sz val="11"/>
      <color theme="3" tint="0.24994659260841701"/>
      <name val="Cambria"/>
      <family val="2"/>
      <scheme val="major"/>
    </font>
    <font>
      <sz val="36"/>
      <color theme="3" tint="0.24994659260841701"/>
      <name val="Cambria"/>
      <family val="2"/>
      <scheme val="major"/>
    </font>
    <font>
      <sz val="10"/>
      <name val="Arial"/>
      <family val="2"/>
    </font>
    <font>
      <b/>
      <sz val="22"/>
      <color theme="0" tint="-4.9989318521683403E-2"/>
      <name val="Segoe UI"/>
      <family val="2"/>
    </font>
    <font>
      <b/>
      <sz val="16"/>
      <color theme="0" tint="-4.9989318521683403E-2"/>
      <name val="Segoe UI"/>
      <family val="2"/>
    </font>
    <font>
      <sz val="11"/>
      <color rgb="FF0070C0"/>
      <name val="Calibri"/>
      <family val="2"/>
      <scheme val="minor"/>
    </font>
    <font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8"/>
      <color rgb="FF0070C0"/>
      <name val="Calibri"/>
      <family val="2"/>
      <scheme val="minor"/>
    </font>
    <font>
      <b/>
      <sz val="22"/>
      <color rgb="FF0070C0"/>
      <name val="Calibri"/>
      <family val="2"/>
      <scheme val="minor"/>
    </font>
    <font>
      <sz val="22"/>
      <color theme="0"/>
      <name val="Calibri"/>
      <family val="2"/>
      <scheme val="minor"/>
    </font>
    <font>
      <sz val="18"/>
      <color rgb="FF0070C0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26"/>
      <color rgb="FF0070C0"/>
      <name val="Arial Black"/>
      <family val="2"/>
    </font>
    <font>
      <sz val="14"/>
      <color theme="1" tint="0.249977111117893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28"/>
      <color theme="1" tint="0.499984740745262"/>
      <name val="Arial Black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8"/>
      <color theme="1"/>
      <name val="Calibri"/>
      <family val="2"/>
      <scheme val="minor"/>
    </font>
    <font>
      <i/>
      <sz val="18"/>
      <color theme="1" tint="0.34998626667073579"/>
      <name val="Calibri"/>
      <family val="2"/>
      <scheme val="minor"/>
    </font>
    <font>
      <sz val="18"/>
      <color theme="1" tint="0.34998626667073579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20"/>
      <color theme="0"/>
      <name val="Arial Black"/>
      <family val="2"/>
    </font>
    <font>
      <sz val="16"/>
      <color theme="0"/>
      <name val="Calibri"/>
      <family val="2"/>
      <scheme val="minor"/>
    </font>
    <font>
      <b/>
      <sz val="16"/>
      <color rgb="FF0070C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20"/>
      <color theme="10"/>
      <name val="Calibri"/>
      <family val="2"/>
      <scheme val="minor"/>
    </font>
    <font>
      <sz val="20"/>
      <color theme="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5" tint="0.749992370372631"/>
        <bgColor indexed="65"/>
      </patternFill>
    </fill>
    <fill>
      <patternFill patternType="solid">
        <fgColor theme="5"/>
        <bgColor auto="1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indexed="9"/>
        <bgColor indexed="27"/>
      </patternFill>
    </fill>
    <fill>
      <patternFill patternType="solid">
        <fgColor theme="3" tint="0.2499465926084170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theme="8" tint="0.59999389629810485"/>
      </patternFill>
    </fill>
    <fill>
      <patternFill patternType="solid">
        <fgColor theme="0" tint="-0.14999847407452621"/>
        <bgColor theme="8" tint="0.59999389629810485"/>
      </patternFill>
    </fill>
    <fill>
      <patternFill patternType="solid">
        <fgColor theme="8" tint="-0.249977111117893"/>
        <bgColor indexed="64"/>
      </patternFill>
    </fill>
  </fills>
  <borders count="6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3" tint="0.24994659260841701"/>
      </bottom>
      <diagonal/>
    </border>
    <border>
      <left/>
      <right/>
      <top style="hair">
        <color indexed="23"/>
      </top>
      <bottom style="hair">
        <color indexed="23"/>
      </bottom>
      <diagonal/>
    </border>
    <border>
      <left/>
      <right/>
      <top/>
      <bottom style="thin">
        <color theme="3" tint="0.24994659260841701"/>
      </bottom>
      <diagonal/>
    </border>
    <border>
      <left/>
      <right/>
      <top/>
      <bottom style="dashed">
        <color theme="3" tint="0.499984740745262"/>
      </bottom>
      <diagonal/>
    </border>
    <border>
      <left/>
      <right style="hair">
        <color indexed="23"/>
      </right>
      <top style="hair">
        <color indexed="23"/>
      </top>
      <bottom style="hair">
        <color indexed="23"/>
      </bottom>
      <diagonal/>
    </border>
    <border>
      <left/>
      <right style="medium">
        <color theme="1" tint="0.499984740745262"/>
      </right>
      <top/>
      <bottom/>
      <diagonal/>
    </border>
    <border>
      <left/>
      <right/>
      <top style="medium">
        <color theme="0" tint="-4.9989318521683403E-2"/>
      </top>
      <bottom/>
      <diagonal/>
    </border>
    <border>
      <left style="medium">
        <color theme="1" tint="0.499984740745262"/>
      </left>
      <right style="medium">
        <color theme="0" tint="-4.9989318521683403E-2"/>
      </right>
      <top/>
      <bottom/>
      <diagonal/>
    </border>
    <border>
      <left style="medium">
        <color theme="1" tint="0.499984740745262"/>
      </left>
      <right style="medium">
        <color theme="0" tint="-4.9989318521683403E-2"/>
      </right>
      <top style="medium">
        <color theme="1" tint="0.499984740745262"/>
      </top>
      <bottom style="medium">
        <color theme="0" tint="-4.9989318521683403E-2"/>
      </bottom>
      <diagonal/>
    </border>
    <border>
      <left style="medium">
        <color theme="1" tint="0.499984740745262"/>
      </left>
      <right style="medium">
        <color theme="0" tint="-4.9989318521683403E-2"/>
      </right>
      <top style="medium">
        <color theme="1" tint="0.499984740745262"/>
      </top>
      <bottom/>
      <diagonal/>
    </border>
    <border>
      <left style="medium">
        <color theme="1" tint="0.499984740745262"/>
      </left>
      <right style="medium">
        <color theme="0" tint="-4.9989318521683403E-2"/>
      </right>
      <top/>
      <bottom style="medium">
        <color theme="0" tint="-4.9989318521683403E-2"/>
      </bottom>
      <diagonal/>
    </border>
    <border>
      <left/>
      <right/>
      <top style="medium">
        <color theme="1" tint="0.499984740745262"/>
      </top>
      <bottom/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0" tint="-4.9989318521683403E-2"/>
      </bottom>
      <diagonal/>
    </border>
    <border>
      <left/>
      <right style="medium">
        <color theme="0" tint="-4.9989318521683403E-2"/>
      </right>
      <top style="medium">
        <color theme="1" tint="0.499984740745262"/>
      </top>
      <bottom style="medium">
        <color theme="0" tint="-4.9989318521683403E-2"/>
      </bottom>
      <diagonal/>
    </border>
    <border>
      <left/>
      <right/>
      <top style="medium">
        <color theme="0" tint="-4.9989318521683403E-2"/>
      </top>
      <bottom style="medium">
        <color theme="1" tint="0.499984740745262"/>
      </bottom>
      <diagonal/>
    </border>
    <border>
      <left style="medium">
        <color theme="0" tint="-4.9989318521683403E-2"/>
      </left>
      <right/>
      <top/>
      <bottom/>
      <diagonal/>
    </border>
    <border>
      <left style="medium">
        <color theme="0" tint="-0.14999847407452621"/>
      </left>
      <right/>
      <top/>
      <bottom/>
      <diagonal/>
    </border>
    <border>
      <left style="medium">
        <color theme="0" tint="-0.14999847407452621"/>
      </left>
      <right/>
      <top style="medium">
        <color theme="0" tint="-0.14999847407452621"/>
      </top>
      <bottom/>
      <diagonal/>
    </border>
    <border>
      <left style="medium">
        <color theme="0" tint="-0.14999847407452621"/>
      </left>
      <right style="medium">
        <color theme="0" tint="-0.14999847407452621"/>
      </right>
      <top style="medium">
        <color theme="0" tint="-0.14999847407452621"/>
      </top>
      <bottom/>
      <diagonal/>
    </border>
    <border>
      <left/>
      <right/>
      <top style="medium">
        <color theme="0" tint="-0.14999847407452621"/>
      </top>
      <bottom/>
      <diagonal/>
    </border>
    <border>
      <left style="medium">
        <color theme="0" tint="-0.14999847407452621"/>
      </left>
      <right style="medium">
        <color theme="0" tint="-0.14999847407452621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theme="1" tint="0.249977111117893"/>
      </right>
      <top/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1" tint="0.249977111117893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 style="thin">
        <color theme="1" tint="0.249977111117893"/>
      </top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0"/>
      </bottom>
      <diagonal/>
    </border>
    <border>
      <left/>
      <right/>
      <top style="thin">
        <color theme="1" tint="0.249977111117893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/>
      <right/>
      <top style="thin">
        <color theme="1" tint="0.249977111117893"/>
      </top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theme="0" tint="-4.9989318521683403E-2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theme="0" tint="-4.9989318521683403E-2"/>
      </bottom>
      <diagonal/>
    </border>
    <border>
      <left style="thin">
        <color theme="0" tint="-4.9989318521683403E-2"/>
      </left>
      <right/>
      <top/>
      <bottom/>
      <diagonal/>
    </border>
    <border>
      <left/>
      <right/>
      <top style="thin">
        <color theme="1" tint="0.249977111117893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theme="0" tint="-4.9989318521683403E-2"/>
      </right>
      <top/>
      <bottom/>
      <diagonal/>
    </border>
    <border>
      <left/>
      <right/>
      <top/>
      <bottom style="medium">
        <color theme="0" tint="-4.9989318521683403E-2"/>
      </bottom>
      <diagonal/>
    </border>
    <border>
      <left/>
      <right style="medium">
        <color theme="0" tint="-4.9989318521683403E-2"/>
      </right>
      <top/>
      <bottom style="medium">
        <color theme="0" tint="-4.9989318521683403E-2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theme="0" tint="-4.9989318521683403E-2"/>
      </bottom>
      <diagonal/>
    </border>
    <border>
      <left/>
      <right style="thin">
        <color theme="0" tint="-4.9989318521683403E-2"/>
      </right>
      <top style="medium">
        <color indexed="64"/>
      </top>
      <bottom/>
      <diagonal/>
    </border>
    <border>
      <left/>
      <right style="thin">
        <color theme="0" tint="-4.9989318521683403E-2"/>
      </right>
      <top/>
      <bottom/>
      <diagonal/>
    </border>
    <border>
      <left/>
      <right style="thin">
        <color theme="0" tint="-4.9989318521683403E-2"/>
      </right>
      <top/>
      <bottom style="thin">
        <color theme="0" tint="-4.9989318521683403E-2"/>
      </bottom>
      <diagonal/>
    </border>
    <border>
      <left style="medium">
        <color theme="0" tint="-4.9989318521683403E-2"/>
      </left>
      <right/>
      <top style="medium">
        <color theme="0" tint="-4.9989318521683403E-2"/>
      </top>
      <bottom/>
      <diagonal/>
    </border>
    <border>
      <left/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medium">
        <color theme="0" tint="-4.9989318521683403E-2"/>
      </left>
      <right/>
      <top/>
      <bottom style="medium">
        <color theme="0" tint="-4.9989318521683403E-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</borders>
  <cellStyleXfs count="28">
    <xf numFmtId="0" fontId="0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8" fillId="5" borderId="0"/>
    <xf numFmtId="0" fontId="3" fillId="6" borderId="0"/>
    <xf numFmtId="0" fontId="9" fillId="7" borderId="2" applyNumberFormat="0" applyProtection="0">
      <alignment horizontal="left" vertical="center" indent="1"/>
    </xf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0" fillId="8" borderId="0">
      <alignment vertical="center"/>
    </xf>
    <xf numFmtId="0" fontId="1" fillId="0" borderId="0"/>
    <xf numFmtId="0" fontId="1" fillId="0" borderId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1" fillId="9" borderId="3" applyNumberFormat="0" applyProtection="0">
      <alignment horizontal="left" vertical="center" wrapText="1" indent="1"/>
    </xf>
    <xf numFmtId="0" fontId="12" fillId="10" borderId="0" applyNumberFormat="0" applyProtection="0">
      <alignment vertical="center"/>
    </xf>
    <xf numFmtId="0" fontId="13" fillId="10" borderId="0" applyNumberFormat="0" applyFill="0" applyProtection="0">
      <alignment horizontal="left" vertical="center"/>
    </xf>
    <xf numFmtId="0" fontId="14" fillId="0" borderId="4" applyNumberFormat="0" applyFill="0" applyProtection="0">
      <alignment vertical="center"/>
    </xf>
    <xf numFmtId="0" fontId="15" fillId="0" borderId="5" applyNumberFormat="0" applyFill="0" applyProtection="0">
      <alignment vertical="center"/>
    </xf>
    <xf numFmtId="0" fontId="16" fillId="8" borderId="0" applyNumberFormat="0" applyBorder="0" applyAlignment="0" applyProtection="0"/>
    <xf numFmtId="0" fontId="17" fillId="0" borderId="6" applyNumberFormat="0" applyProtection="0">
      <alignment horizontal="center" vertical="center"/>
    </xf>
    <xf numFmtId="0" fontId="43" fillId="0" borderId="0" applyNumberFormat="0" applyFill="0" applyBorder="0" applyAlignment="0" applyProtection="0"/>
  </cellStyleXfs>
  <cellXfs count="182">
    <xf numFmtId="0" fontId="0" fillId="0" borderId="0" xfId="0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Protection="1">
      <protection hidden="1"/>
    </xf>
    <xf numFmtId="0" fontId="0" fillId="0" borderId="0" xfId="0" applyProtection="1">
      <protection locked="0"/>
    </xf>
    <xf numFmtId="0" fontId="0" fillId="0" borderId="0" xfId="0" applyBorder="1"/>
    <xf numFmtId="4" fontId="0" fillId="0" borderId="0" xfId="0" applyNumberFormat="1" applyAlignment="1">
      <alignment horizontal="center"/>
    </xf>
    <xf numFmtId="4" fontId="0" fillId="0" borderId="0" xfId="0" applyNumberFormat="1" applyAlignment="1" applyProtection="1">
      <alignment horizontal="center"/>
      <protection locked="0"/>
    </xf>
    <xf numFmtId="0" fontId="20" fillId="0" borderId="0" xfId="0" applyFont="1"/>
    <xf numFmtId="0" fontId="20" fillId="0" borderId="0" xfId="0" applyNumberFormat="1" applyFont="1" applyAlignment="1" applyProtection="1">
      <alignment horizontal="center"/>
      <protection hidden="1"/>
    </xf>
    <xf numFmtId="0" fontId="20" fillId="0" borderId="0" xfId="0" applyFont="1" applyAlignment="1">
      <alignment horizontal="center"/>
    </xf>
    <xf numFmtId="0" fontId="21" fillId="0" borderId="0" xfId="0" applyFont="1"/>
    <xf numFmtId="0" fontId="21" fillId="0" borderId="0" xfId="0" applyNumberFormat="1" applyFont="1" applyAlignment="1" applyProtection="1">
      <alignment horizontal="center"/>
      <protection hidden="1"/>
    </xf>
    <xf numFmtId="0" fontId="21" fillId="0" borderId="0" xfId="0" applyFont="1" applyAlignment="1">
      <alignment horizontal="center"/>
    </xf>
    <xf numFmtId="0" fontId="0" fillId="13" borderId="0" xfId="0" applyFill="1"/>
    <xf numFmtId="4" fontId="0" fillId="13" borderId="0" xfId="0" applyNumberFormat="1" applyFill="1" applyAlignment="1">
      <alignment horizontal="center"/>
    </xf>
    <xf numFmtId="0" fontId="3" fillId="13" borderId="0" xfId="0" applyFont="1" applyFill="1" applyAlignment="1">
      <alignment horizontal="center"/>
    </xf>
    <xf numFmtId="0" fontId="0" fillId="13" borderId="0" xfId="0" applyFill="1" applyAlignment="1">
      <alignment horizontal="center"/>
    </xf>
    <xf numFmtId="0" fontId="0" fillId="11" borderId="0" xfId="0" applyFill="1"/>
    <xf numFmtId="0" fontId="0" fillId="12" borderId="0" xfId="0" applyFill="1"/>
    <xf numFmtId="0" fontId="0" fillId="15" borderId="0" xfId="0" applyFill="1"/>
    <xf numFmtId="0" fontId="0" fillId="14" borderId="0" xfId="0" applyNumberFormat="1" applyFill="1" applyProtection="1">
      <protection hidden="1"/>
    </xf>
    <xf numFmtId="0" fontId="0" fillId="11" borderId="0" xfId="0" applyNumberFormat="1" applyFill="1" applyProtection="1">
      <protection hidden="1"/>
    </xf>
    <xf numFmtId="1" fontId="0" fillId="11" borderId="0" xfId="0" applyNumberFormat="1" applyFill="1" applyAlignment="1" applyProtection="1">
      <alignment horizontal="center"/>
      <protection locked="0"/>
    </xf>
    <xf numFmtId="1" fontId="0" fillId="16" borderId="0" xfId="0" applyNumberFormat="1" applyFill="1" applyAlignment="1" applyProtection="1">
      <alignment horizontal="center"/>
      <protection locked="0"/>
    </xf>
    <xf numFmtId="0" fontId="0" fillId="15" borderId="0" xfId="0" applyFill="1" applyProtection="1">
      <protection hidden="1"/>
    </xf>
    <xf numFmtId="166" fontId="0" fillId="14" borderId="0" xfId="0" applyNumberFormat="1" applyFill="1" applyAlignment="1" applyProtection="1">
      <alignment horizontal="center"/>
      <protection hidden="1"/>
    </xf>
    <xf numFmtId="4" fontId="0" fillId="14" borderId="0" xfId="0" applyNumberFormat="1" applyFill="1" applyAlignment="1">
      <alignment horizontal="center"/>
    </xf>
    <xf numFmtId="0" fontId="22" fillId="0" borderId="0" xfId="0" applyFont="1" applyAlignment="1">
      <alignment horizontal="left"/>
    </xf>
    <xf numFmtId="0" fontId="22" fillId="0" borderId="0" xfId="0" applyFont="1"/>
    <xf numFmtId="165" fontId="0" fillId="16" borderId="0" xfId="0" applyNumberFormat="1" applyFill="1" applyAlignment="1" applyProtection="1">
      <alignment horizontal="left"/>
      <protection locked="0"/>
    </xf>
    <xf numFmtId="165" fontId="0" fillId="14" borderId="0" xfId="0" applyNumberFormat="1" applyFill="1" applyAlignment="1">
      <alignment horizontal="center"/>
    </xf>
    <xf numFmtId="0" fontId="3" fillId="13" borderId="0" xfId="0" applyFont="1" applyFill="1"/>
    <xf numFmtId="165" fontId="22" fillId="11" borderId="0" xfId="0" applyNumberFormat="1" applyFont="1" applyFill="1" applyAlignment="1">
      <alignment horizontal="left"/>
    </xf>
    <xf numFmtId="0" fontId="22" fillId="11" borderId="0" xfId="0" applyFont="1" applyFill="1" applyAlignment="1">
      <alignment horizontal="left"/>
    </xf>
    <xf numFmtId="0" fontId="22" fillId="11" borderId="0" xfId="0" applyFont="1" applyFill="1"/>
    <xf numFmtId="165" fontId="0" fillId="11" borderId="0" xfId="0" applyNumberFormat="1" applyFill="1" applyAlignment="1" applyProtection="1">
      <alignment horizontal="left"/>
      <protection locked="0"/>
    </xf>
    <xf numFmtId="166" fontId="0" fillId="11" borderId="0" xfId="0" applyNumberFormat="1" applyFill="1" applyAlignment="1" applyProtection="1">
      <alignment horizontal="center"/>
      <protection hidden="1"/>
    </xf>
    <xf numFmtId="4" fontId="0" fillId="11" borderId="0" xfId="0" applyNumberFormat="1" applyFill="1" applyAlignment="1">
      <alignment horizontal="center"/>
    </xf>
    <xf numFmtId="165" fontId="0" fillId="11" borderId="0" xfId="0" applyNumberFormat="1" applyFill="1" applyAlignment="1">
      <alignment horizontal="center"/>
    </xf>
    <xf numFmtId="0" fontId="0" fillId="11" borderId="0" xfId="0" applyFill="1" applyAlignment="1" applyProtection="1">
      <alignment horizontal="center"/>
      <protection hidden="1"/>
    </xf>
    <xf numFmtId="0" fontId="22" fillId="13" borderId="0" xfId="0" applyFont="1" applyFill="1"/>
    <xf numFmtId="0" fontId="22" fillId="13" borderId="0" xfId="0" applyFont="1" applyFill="1" applyProtection="1">
      <protection hidden="1"/>
    </xf>
    <xf numFmtId="0" fontId="22" fillId="13" borderId="0" xfId="0" applyFont="1" applyFill="1" applyAlignment="1">
      <alignment horizontal="center"/>
    </xf>
    <xf numFmtId="0" fontId="0" fillId="14" borderId="0" xfId="0" applyFill="1" applyAlignment="1" applyProtection="1">
      <alignment horizontal="center"/>
      <protection hidden="1"/>
    </xf>
    <xf numFmtId="0" fontId="0" fillId="0" borderId="0" xfId="0" applyAlignment="1">
      <alignment vertical="center"/>
    </xf>
    <xf numFmtId="0" fontId="0" fillId="15" borderId="0" xfId="0" applyFill="1" applyBorder="1"/>
    <xf numFmtId="0" fontId="0" fillId="15" borderId="7" xfId="0" applyFill="1" applyBorder="1"/>
    <xf numFmtId="0" fontId="0" fillId="15" borderId="8" xfId="0" applyFill="1" applyBorder="1"/>
    <xf numFmtId="0" fontId="0" fillId="15" borderId="9" xfId="0" applyFill="1" applyBorder="1"/>
    <xf numFmtId="0" fontId="0" fillId="15" borderId="11" xfId="0" applyFill="1" applyBorder="1"/>
    <xf numFmtId="0" fontId="0" fillId="15" borderId="12" xfId="0" applyFill="1" applyBorder="1"/>
    <xf numFmtId="0" fontId="0" fillId="15" borderId="8" xfId="0" applyFill="1" applyBorder="1" applyProtection="1">
      <protection hidden="1"/>
    </xf>
    <xf numFmtId="0" fontId="0" fillId="15" borderId="16" xfId="0" applyFill="1" applyBorder="1" applyProtection="1">
      <protection hidden="1"/>
    </xf>
    <xf numFmtId="0" fontId="0" fillId="15" borderId="16" xfId="0" applyFill="1" applyBorder="1"/>
    <xf numFmtId="0" fontId="0" fillId="15" borderId="17" xfId="0" applyFill="1" applyBorder="1"/>
    <xf numFmtId="165" fontId="2" fillId="13" borderId="10" xfId="0" applyNumberFormat="1" applyFont="1" applyFill="1" applyBorder="1" applyAlignment="1" applyProtection="1">
      <alignment horizontal="center"/>
      <protection hidden="1"/>
    </xf>
    <xf numFmtId="0" fontId="0" fillId="15" borderId="18" xfId="0" applyFill="1" applyBorder="1"/>
    <xf numFmtId="0" fontId="7" fillId="17" borderId="19" xfId="0" applyFont="1" applyFill="1" applyBorder="1" applyAlignment="1" applyProtection="1">
      <alignment horizontal="center"/>
      <protection hidden="1"/>
    </xf>
    <xf numFmtId="0" fontId="0" fillId="15" borderId="21" xfId="0" applyFill="1" applyBorder="1" applyProtection="1">
      <protection hidden="1"/>
    </xf>
    <xf numFmtId="167" fontId="0" fillId="11" borderId="0" xfId="0" applyNumberFormat="1" applyFill="1" applyAlignment="1" applyProtection="1">
      <alignment horizontal="center"/>
      <protection hidden="1"/>
    </xf>
    <xf numFmtId="167" fontId="0" fillId="11" borderId="0" xfId="0" applyNumberFormat="1" applyFill="1" applyAlignment="1">
      <alignment horizontal="center"/>
    </xf>
    <xf numFmtId="4" fontId="0" fillId="15" borderId="0" xfId="0" applyNumberFormat="1" applyFill="1" applyBorder="1" applyAlignment="1">
      <alignment horizontal="center"/>
    </xf>
    <xf numFmtId="0" fontId="20" fillId="15" borderId="0" xfId="0" applyFont="1" applyFill="1" applyBorder="1"/>
    <xf numFmtId="0" fontId="21" fillId="15" borderId="0" xfId="0" applyFont="1" applyFill="1" applyBorder="1"/>
    <xf numFmtId="4" fontId="0" fillId="15" borderId="0" xfId="0" applyNumberFormat="1" applyFill="1" applyAlignment="1">
      <alignment horizontal="center"/>
    </xf>
    <xf numFmtId="0" fontId="20" fillId="15" borderId="0" xfId="0" applyFont="1" applyFill="1"/>
    <xf numFmtId="0" fontId="21" fillId="15" borderId="0" xfId="0" applyFont="1" applyFill="1"/>
    <xf numFmtId="0" fontId="0" fillId="13" borderId="0" xfId="0" applyFill="1" applyProtection="1">
      <protection hidden="1"/>
    </xf>
    <xf numFmtId="165" fontId="0" fillId="14" borderId="43" xfId="0" applyNumberFormat="1" applyFill="1" applyBorder="1" applyAlignment="1" applyProtection="1">
      <alignment horizontal="center"/>
      <protection locked="0"/>
    </xf>
    <xf numFmtId="0" fontId="0" fillId="14" borderId="43" xfId="0" applyNumberFormat="1" applyFill="1" applyBorder="1" applyProtection="1">
      <protection hidden="1"/>
    </xf>
    <xf numFmtId="14" fontId="0" fillId="14" borderId="43" xfId="0" applyNumberFormat="1" applyFill="1" applyBorder="1" applyProtection="1">
      <protection locked="0"/>
    </xf>
    <xf numFmtId="44" fontId="0" fillId="14" borderId="43" xfId="1" applyFont="1" applyFill="1" applyBorder="1" applyProtection="1">
      <protection locked="0"/>
    </xf>
    <xf numFmtId="1" fontId="0" fillId="14" borderId="43" xfId="0" applyNumberFormat="1" applyFill="1" applyBorder="1" applyAlignment="1" applyProtection="1">
      <alignment horizontal="center"/>
      <protection locked="0"/>
    </xf>
    <xf numFmtId="165" fontId="0" fillId="11" borderId="43" xfId="0" applyNumberFormat="1" applyFill="1" applyBorder="1" applyAlignment="1">
      <alignment horizontal="center"/>
    </xf>
    <xf numFmtId="0" fontId="0" fillId="11" borderId="43" xfId="0" applyFill="1" applyBorder="1" applyProtection="1">
      <protection locked="0"/>
    </xf>
    <xf numFmtId="4" fontId="0" fillId="11" borderId="43" xfId="0" applyNumberFormat="1" applyFill="1" applyBorder="1" applyAlignment="1" applyProtection="1">
      <alignment horizontal="center"/>
      <protection locked="0"/>
    </xf>
    <xf numFmtId="0" fontId="20" fillId="12" borderId="43" xfId="0" applyNumberFormat="1" applyFont="1" applyFill="1" applyBorder="1" applyAlignment="1" applyProtection="1">
      <alignment horizontal="center"/>
      <protection hidden="1"/>
    </xf>
    <xf numFmtId="0" fontId="21" fillId="12" borderId="43" xfId="0" applyNumberFormat="1" applyFont="1" applyFill="1" applyBorder="1" applyAlignment="1" applyProtection="1">
      <alignment horizontal="center"/>
      <protection hidden="1"/>
    </xf>
    <xf numFmtId="0" fontId="0" fillId="12" borderId="43" xfId="0" applyNumberFormat="1" applyFill="1" applyBorder="1" applyAlignment="1">
      <alignment horizontal="center"/>
    </xf>
    <xf numFmtId="0" fontId="0" fillId="14" borderId="0" xfId="0" applyFill="1" applyBorder="1"/>
    <xf numFmtId="0" fontId="0" fillId="14" borderId="0" xfId="0" applyFill="1"/>
    <xf numFmtId="0" fontId="3" fillId="15" borderId="0" xfId="0" applyFont="1" applyFill="1"/>
    <xf numFmtId="0" fontId="3" fillId="15" borderId="27" xfId="0" applyFont="1" applyFill="1" applyBorder="1"/>
    <xf numFmtId="0" fontId="3" fillId="15" borderId="26" xfId="0" applyFont="1" applyFill="1" applyBorder="1"/>
    <xf numFmtId="0" fontId="3" fillId="15" borderId="0" xfId="0" applyFont="1" applyFill="1" applyBorder="1"/>
    <xf numFmtId="0" fontId="3" fillId="15" borderId="41" xfId="0" applyFont="1" applyFill="1" applyBorder="1" applyAlignment="1"/>
    <xf numFmtId="0" fontId="5" fillId="15" borderId="26" xfId="0" applyFont="1" applyFill="1" applyBorder="1" applyAlignment="1">
      <alignment vertical="center"/>
    </xf>
    <xf numFmtId="0" fontId="5" fillId="15" borderId="25" xfId="0" applyFont="1" applyFill="1" applyBorder="1" applyAlignment="1">
      <alignment vertical="center"/>
    </xf>
    <xf numFmtId="0" fontId="5" fillId="15" borderId="37" xfId="0" applyFont="1" applyFill="1" applyBorder="1" applyAlignment="1">
      <alignment vertical="center"/>
    </xf>
    <xf numFmtId="0" fontId="3" fillId="15" borderId="33" xfId="0" applyFont="1" applyFill="1" applyBorder="1"/>
    <xf numFmtId="0" fontId="5" fillId="15" borderId="26" xfId="0" applyFont="1" applyFill="1" applyBorder="1" applyAlignment="1">
      <alignment horizontal="right" vertical="center"/>
    </xf>
    <xf numFmtId="0" fontId="5" fillId="15" borderId="0" xfId="0" applyFont="1" applyFill="1" applyBorder="1" applyAlignment="1">
      <alignment horizontal="right" vertical="center"/>
    </xf>
    <xf numFmtId="165" fontId="4" fillId="19" borderId="27" xfId="0" applyNumberFormat="1" applyFont="1" applyFill="1" applyBorder="1" applyAlignment="1" applyProtection="1">
      <alignment horizontal="center" vertical="center"/>
      <protection locked="0"/>
    </xf>
    <xf numFmtId="0" fontId="5" fillId="15" borderId="27" xfId="0" applyFont="1" applyFill="1" applyBorder="1" applyAlignment="1">
      <alignment vertical="center"/>
    </xf>
    <xf numFmtId="0" fontId="3" fillId="15" borderId="28" xfId="0" applyFont="1" applyFill="1" applyBorder="1"/>
    <xf numFmtId="0" fontId="3" fillId="15" borderId="37" xfId="0" applyFont="1" applyFill="1" applyBorder="1"/>
    <xf numFmtId="0" fontId="25" fillId="15" borderId="27" xfId="0" applyFont="1" applyFill="1" applyBorder="1" applyAlignment="1" applyProtection="1">
      <alignment horizontal="left" vertical="center"/>
      <protection hidden="1"/>
    </xf>
    <xf numFmtId="0" fontId="3" fillId="15" borderId="30" xfId="0" applyFont="1" applyFill="1" applyBorder="1"/>
    <xf numFmtId="0" fontId="3" fillId="15" borderId="31" xfId="0" applyFont="1" applyFill="1" applyBorder="1"/>
    <xf numFmtId="0" fontId="3" fillId="15" borderId="34" xfId="0" applyFont="1" applyFill="1" applyBorder="1"/>
    <xf numFmtId="0" fontId="26" fillId="13" borderId="36" xfId="0" applyFont="1" applyFill="1" applyBorder="1" applyProtection="1">
      <protection hidden="1"/>
    </xf>
    <xf numFmtId="0" fontId="0" fillId="12" borderId="44" xfId="0" applyFill="1" applyBorder="1"/>
    <xf numFmtId="0" fontId="0" fillId="12" borderId="45" xfId="0" applyFill="1" applyBorder="1"/>
    <xf numFmtId="167" fontId="0" fillId="16" borderId="0" xfId="0" applyNumberFormat="1" applyFill="1" applyAlignment="1" applyProtection="1">
      <alignment horizontal="center"/>
      <protection hidden="1"/>
    </xf>
    <xf numFmtId="167" fontId="0" fillId="16" borderId="0" xfId="0" applyNumberFormat="1" applyFill="1" applyAlignment="1">
      <alignment horizontal="center"/>
    </xf>
    <xf numFmtId="0" fontId="0" fillId="15" borderId="47" xfId="0" applyFill="1" applyBorder="1"/>
    <xf numFmtId="0" fontId="0" fillId="15" borderId="55" xfId="0" applyFill="1" applyBorder="1"/>
    <xf numFmtId="0" fontId="0" fillId="15" borderId="54" xfId="0" applyFill="1" applyBorder="1"/>
    <xf numFmtId="0" fontId="0" fillId="15" borderId="56" xfId="0" applyFill="1" applyBorder="1"/>
    <xf numFmtId="0" fontId="0" fillId="0" borderId="57" xfId="0" applyBorder="1"/>
    <xf numFmtId="0" fontId="0" fillId="15" borderId="44" xfId="0" applyFill="1" applyBorder="1"/>
    <xf numFmtId="0" fontId="0" fillId="15" borderId="45" xfId="0" applyFill="1" applyBorder="1"/>
    <xf numFmtId="0" fontId="0" fillId="15" borderId="49" xfId="0" applyFill="1" applyBorder="1"/>
    <xf numFmtId="0" fontId="0" fillId="15" borderId="48" xfId="0" applyFill="1" applyBorder="1"/>
    <xf numFmtId="0" fontId="0" fillId="15" borderId="46" xfId="0" applyFill="1" applyBorder="1"/>
    <xf numFmtId="0" fontId="18" fillId="15" borderId="0" xfId="13" applyFont="1" applyFill="1" applyAlignment="1" applyProtection="1">
      <alignment vertical="center"/>
      <protection hidden="1"/>
    </xf>
    <xf numFmtId="0" fontId="19" fillId="15" borderId="0" xfId="13" applyFont="1" applyFill="1" applyAlignment="1" applyProtection="1">
      <alignment vertical="center"/>
      <protection hidden="1"/>
    </xf>
    <xf numFmtId="0" fontId="19" fillId="20" borderId="0" xfId="13" applyFont="1" applyFill="1" applyAlignment="1" applyProtection="1">
      <alignment vertical="center"/>
      <protection hidden="1"/>
    </xf>
    <xf numFmtId="0" fontId="35" fillId="15" borderId="0" xfId="0" applyFont="1" applyFill="1" applyBorder="1"/>
    <xf numFmtId="0" fontId="0" fillId="15" borderId="58" xfId="0" applyFill="1" applyBorder="1"/>
    <xf numFmtId="0" fontId="0" fillId="15" borderId="60" xfId="0" applyFill="1" applyBorder="1"/>
    <xf numFmtId="0" fontId="0" fillId="15" borderId="61" xfId="0" applyFill="1" applyBorder="1"/>
    <xf numFmtId="0" fontId="0" fillId="12" borderId="59" xfId="0" applyFill="1" applyBorder="1"/>
    <xf numFmtId="0" fontId="36" fillId="15" borderId="0" xfId="0" applyFont="1" applyFill="1" applyBorder="1"/>
    <xf numFmtId="0" fontId="37" fillId="15" borderId="0" xfId="0" applyFont="1" applyFill="1" applyBorder="1"/>
    <xf numFmtId="0" fontId="38" fillId="15" borderId="0" xfId="0" applyFont="1" applyFill="1" applyBorder="1"/>
    <xf numFmtId="0" fontId="3" fillId="13" borderId="0" xfId="0" applyFont="1" applyFill="1" applyAlignment="1" applyProtection="1">
      <alignment horizontal="center"/>
      <protection hidden="1"/>
    </xf>
    <xf numFmtId="0" fontId="0" fillId="13" borderId="0" xfId="0" applyFill="1" applyBorder="1"/>
    <xf numFmtId="0" fontId="3" fillId="13" borderId="0" xfId="0" applyFont="1" applyFill="1" applyBorder="1" applyAlignment="1">
      <alignment horizontal="center"/>
    </xf>
    <xf numFmtId="0" fontId="0" fillId="15" borderId="62" xfId="0" applyFill="1" applyBorder="1"/>
    <xf numFmtId="0" fontId="0" fillId="15" borderId="63" xfId="0" applyFill="1" applyBorder="1"/>
    <xf numFmtId="0" fontId="0" fillId="15" borderId="64" xfId="0" applyFill="1" applyBorder="1"/>
    <xf numFmtId="0" fontId="44" fillId="15" borderId="0" xfId="27" applyFont="1" applyFill="1" applyBorder="1"/>
    <xf numFmtId="0" fontId="45" fillId="15" borderId="0" xfId="0" applyFont="1" applyFill="1" applyBorder="1"/>
    <xf numFmtId="0" fontId="32" fillId="15" borderId="0" xfId="0" applyFont="1" applyFill="1" applyBorder="1" applyAlignment="1">
      <alignment horizontal="center" vertical="center"/>
    </xf>
    <xf numFmtId="0" fontId="39" fillId="13" borderId="0" xfId="0" applyFont="1" applyFill="1" applyBorder="1" applyAlignment="1">
      <alignment horizontal="left" vertical="center"/>
    </xf>
    <xf numFmtId="168" fontId="40" fillId="13" borderId="0" xfId="0" applyNumberFormat="1" applyFont="1" applyFill="1" applyBorder="1" applyAlignment="1">
      <alignment horizontal="center" vertical="center"/>
    </xf>
    <xf numFmtId="0" fontId="0" fillId="15" borderId="0" xfId="0" applyFill="1" applyBorder="1" applyAlignment="1">
      <alignment horizontal="center"/>
    </xf>
    <xf numFmtId="0" fontId="31" fillId="15" borderId="50" xfId="0" applyFont="1" applyFill="1" applyBorder="1" applyAlignment="1">
      <alignment horizontal="center" vertical="top"/>
    </xf>
    <xf numFmtId="0" fontId="3" fillId="12" borderId="40" xfId="0" applyFont="1" applyFill="1" applyBorder="1" applyAlignment="1">
      <alignment horizontal="center"/>
    </xf>
    <xf numFmtId="0" fontId="3" fillId="12" borderId="41" xfId="0" applyFont="1" applyFill="1" applyBorder="1" applyAlignment="1">
      <alignment horizontal="center"/>
    </xf>
    <xf numFmtId="0" fontId="3" fillId="12" borderId="32" xfId="0" applyFont="1" applyFill="1" applyBorder="1" applyAlignment="1">
      <alignment horizontal="center"/>
    </xf>
    <xf numFmtId="0" fontId="3" fillId="12" borderId="42" xfId="0" applyFont="1" applyFill="1" applyBorder="1" applyAlignment="1">
      <alignment horizontal="center"/>
    </xf>
    <xf numFmtId="0" fontId="3" fillId="12" borderId="0" xfId="0" applyFont="1" applyFill="1" applyBorder="1" applyAlignment="1">
      <alignment horizontal="center"/>
    </xf>
    <xf numFmtId="0" fontId="3" fillId="12" borderId="33" xfId="0" applyFont="1" applyFill="1" applyBorder="1" applyAlignment="1">
      <alignment horizontal="center"/>
    </xf>
    <xf numFmtId="0" fontId="3" fillId="12" borderId="30" xfId="0" applyFont="1" applyFill="1" applyBorder="1" applyAlignment="1">
      <alignment horizontal="center"/>
    </xf>
    <xf numFmtId="0" fontId="3" fillId="12" borderId="31" xfId="0" applyFont="1" applyFill="1" applyBorder="1" applyAlignment="1">
      <alignment horizontal="center"/>
    </xf>
    <xf numFmtId="0" fontId="3" fillId="12" borderId="34" xfId="0" applyFont="1" applyFill="1" applyBorder="1" applyAlignment="1">
      <alignment horizontal="center"/>
    </xf>
    <xf numFmtId="0" fontId="27" fillId="15" borderId="24" xfId="0" applyFont="1" applyFill="1" applyBorder="1" applyAlignment="1" applyProtection="1">
      <alignment horizontal="left"/>
      <protection hidden="1"/>
    </xf>
    <xf numFmtId="0" fontId="27" fillId="15" borderId="29" xfId="0" applyFont="1" applyFill="1" applyBorder="1" applyAlignment="1" applyProtection="1">
      <alignment horizontal="left"/>
      <protection hidden="1"/>
    </xf>
    <xf numFmtId="0" fontId="27" fillId="15" borderId="23" xfId="0" applyFont="1" applyFill="1" applyBorder="1" applyAlignment="1" applyProtection="1">
      <alignment horizontal="left"/>
      <protection hidden="1"/>
    </xf>
    <xf numFmtId="168" fontId="30" fillId="14" borderId="51" xfId="0" applyNumberFormat="1" applyFont="1" applyFill="1" applyBorder="1" applyAlignment="1">
      <alignment horizontal="center" vertical="center"/>
    </xf>
    <xf numFmtId="168" fontId="30" fillId="14" borderId="52" xfId="0" applyNumberFormat="1" applyFont="1" applyFill="1" applyBorder="1" applyAlignment="1">
      <alignment horizontal="center" vertical="center"/>
    </xf>
    <xf numFmtId="168" fontId="30" fillId="14" borderId="53" xfId="0" applyNumberFormat="1" applyFont="1" applyFill="1" applyBorder="1" applyAlignment="1">
      <alignment horizontal="center" vertical="center"/>
    </xf>
    <xf numFmtId="0" fontId="0" fillId="15" borderId="24" xfId="0" applyFont="1" applyFill="1" applyBorder="1" applyAlignment="1" applyProtection="1">
      <alignment horizontal="center"/>
      <protection hidden="1"/>
    </xf>
    <xf numFmtId="0" fontId="41" fillId="15" borderId="23" xfId="0" applyFont="1" applyFill="1" applyBorder="1" applyAlignment="1" applyProtection="1">
      <alignment horizontal="center"/>
      <protection hidden="1"/>
    </xf>
    <xf numFmtId="0" fontId="0" fillId="15" borderId="29" xfId="0" applyFont="1" applyFill="1" applyBorder="1" applyAlignment="1" applyProtection="1">
      <alignment horizontal="center"/>
      <protection hidden="1"/>
    </xf>
    <xf numFmtId="0" fontId="42" fillId="15" borderId="29" xfId="0" applyFont="1" applyFill="1" applyBorder="1" applyAlignment="1" applyProtection="1">
      <alignment horizontal="center"/>
      <protection hidden="1"/>
    </xf>
    <xf numFmtId="0" fontId="0" fillId="13" borderId="24" xfId="0" applyFont="1" applyFill="1" applyBorder="1" applyAlignment="1" applyProtection="1">
      <alignment horizontal="center"/>
      <protection hidden="1"/>
    </xf>
    <xf numFmtId="0" fontId="4" fillId="13" borderId="23" xfId="0" applyFont="1" applyFill="1" applyBorder="1" applyAlignment="1" applyProtection="1">
      <alignment horizontal="center"/>
      <protection hidden="1"/>
    </xf>
    <xf numFmtId="165" fontId="24" fillId="18" borderId="38" xfId="0" applyNumberFormat="1" applyFont="1" applyFill="1" applyBorder="1" applyAlignment="1" applyProtection="1">
      <alignment horizontal="center" vertical="center"/>
      <protection locked="0"/>
    </xf>
    <xf numFmtId="165" fontId="24" fillId="18" borderId="39" xfId="0" applyNumberFormat="1" applyFont="1" applyFill="1" applyBorder="1" applyAlignment="1" applyProtection="1">
      <alignment horizontal="center" vertical="center"/>
      <protection locked="0"/>
    </xf>
    <xf numFmtId="0" fontId="25" fillId="14" borderId="35" xfId="0" applyFont="1" applyFill="1" applyBorder="1" applyAlignment="1" applyProtection="1">
      <alignment horizontal="left" vertical="center"/>
      <protection hidden="1"/>
    </xf>
    <xf numFmtId="0" fontId="25" fillId="14" borderId="36" xfId="0" applyFont="1" applyFill="1" applyBorder="1" applyAlignment="1" applyProtection="1">
      <alignment horizontal="left" vertical="center"/>
      <protection hidden="1"/>
    </xf>
    <xf numFmtId="0" fontId="28" fillId="13" borderId="36" xfId="0" applyFont="1" applyFill="1" applyBorder="1" applyAlignment="1" applyProtection="1">
      <alignment horizontal="center"/>
      <protection hidden="1"/>
    </xf>
    <xf numFmtId="4" fontId="4" fillId="13" borderId="20" xfId="0" applyNumberFormat="1" applyFont="1" applyFill="1" applyBorder="1" applyAlignment="1" applyProtection="1">
      <alignment horizontal="center" vertical="center"/>
      <protection hidden="1"/>
    </xf>
    <xf numFmtId="4" fontId="4" fillId="13" borderId="22" xfId="0" applyNumberFormat="1" applyFont="1" applyFill="1" applyBorder="1" applyAlignment="1" applyProtection="1">
      <alignment horizontal="center" vertical="center"/>
      <protection hidden="1"/>
    </xf>
    <xf numFmtId="0" fontId="0" fillId="15" borderId="13" xfId="0" applyFont="1" applyFill="1" applyBorder="1" applyAlignment="1">
      <alignment horizontal="center"/>
    </xf>
    <xf numFmtId="0" fontId="6" fillId="15" borderId="13" xfId="0" applyFont="1" applyFill="1" applyBorder="1" applyAlignment="1">
      <alignment horizontal="center"/>
    </xf>
    <xf numFmtId="164" fontId="23" fillId="15" borderId="14" xfId="0" applyNumberFormat="1" applyFont="1" applyFill="1" applyBorder="1" applyAlignment="1" applyProtection="1">
      <alignment horizontal="center"/>
      <protection hidden="1"/>
    </xf>
    <xf numFmtId="164" fontId="23" fillId="15" borderId="15" xfId="0" applyNumberFormat="1" applyFont="1" applyFill="1" applyBorder="1" applyAlignment="1" applyProtection="1">
      <alignment horizontal="center"/>
      <protection hidden="1"/>
    </xf>
    <xf numFmtId="0" fontId="29" fillId="12" borderId="0" xfId="0" applyFont="1" applyFill="1" applyAlignment="1" applyProtection="1">
      <alignment horizontal="center" vertical="center"/>
      <protection hidden="1"/>
    </xf>
    <xf numFmtId="0" fontId="0" fillId="12" borderId="0" xfId="0" applyFill="1" applyAlignment="1">
      <alignment horizontal="center"/>
    </xf>
    <xf numFmtId="0" fontId="18" fillId="17" borderId="0" xfId="13" applyFont="1" applyFill="1" applyAlignment="1" applyProtection="1">
      <alignment horizontal="center" vertical="center"/>
      <protection hidden="1"/>
    </xf>
    <xf numFmtId="0" fontId="3" fillId="13" borderId="0" xfId="0" applyFont="1" applyFill="1" applyAlignment="1">
      <alignment horizontal="center"/>
    </xf>
    <xf numFmtId="0" fontId="0" fillId="14" borderId="65" xfId="0" applyFill="1" applyBorder="1" applyProtection="1">
      <protection locked="0"/>
    </xf>
    <xf numFmtId="0" fontId="0" fillId="14" borderId="65" xfId="0" applyNumberFormat="1" applyFill="1" applyBorder="1" applyProtection="1">
      <protection hidden="1"/>
    </xf>
    <xf numFmtId="14" fontId="0" fillId="14" borderId="65" xfId="0" applyNumberFormat="1" applyFill="1" applyBorder="1" applyProtection="1">
      <protection locked="0"/>
    </xf>
    <xf numFmtId="44" fontId="0" fillId="14" borderId="65" xfId="1" applyFont="1" applyFill="1" applyBorder="1" applyProtection="1">
      <protection locked="0"/>
    </xf>
    <xf numFmtId="1" fontId="0" fillId="14" borderId="65" xfId="0" applyNumberFormat="1" applyFill="1" applyBorder="1" applyAlignment="1" applyProtection="1">
      <alignment horizontal="center"/>
      <protection locked="0"/>
    </xf>
  </cellXfs>
  <cellStyles count="28">
    <cellStyle name="20% - Ênfase5 2" xfId="5"/>
    <cellStyle name="20% - Ênfase5 3" xfId="6"/>
    <cellStyle name="40% - Ênfase5 2" xfId="7"/>
    <cellStyle name="40% - Ênfase5 3" xfId="8"/>
    <cellStyle name="Custom Style  1" xfId="9"/>
    <cellStyle name="Custom Style 2" xfId="10"/>
    <cellStyle name="Heading 5" xfId="11"/>
    <cellStyle name="Hiperlink" xfId="27" builtinId="8"/>
    <cellStyle name="Moeda" xfId="1" builtinId="4"/>
    <cellStyle name="Moeda 2" xfId="12"/>
    <cellStyle name="Normal" xfId="0" builtinId="0"/>
    <cellStyle name="Normal 2" xfId="13"/>
    <cellStyle name="Normal 3" xfId="14"/>
    <cellStyle name="Normal 4" xfId="15"/>
    <cellStyle name="Normal 5" xfId="2"/>
    <cellStyle name="Normal 6" xfId="3"/>
    <cellStyle name="Normal 7" xfId="4"/>
    <cellStyle name="Normal 8" xfId="16"/>
    <cellStyle name="Normal 9" xfId="17"/>
    <cellStyle name="Nota 2" xfId="18"/>
    <cellStyle name="Nota 3" xfId="19"/>
    <cellStyle name="obs-normal" xfId="20"/>
    <cellStyle name="Título 1 2" xfId="21"/>
    <cellStyle name="Título 2 2" xfId="22"/>
    <cellStyle name="Título 3 2" xfId="23"/>
    <cellStyle name="Título 4 2" xfId="24"/>
    <cellStyle name="Título 5" xfId="25"/>
    <cellStyle name="valores-normal" xfId="26"/>
  </cellStyles>
  <dxfs count="38"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 tint="-4.9989318521683403E-2"/>
        <name val="Segoe UI"/>
        <scheme val="none"/>
      </font>
      <fill>
        <patternFill patternType="solid">
          <fgColor indexed="64"/>
          <bgColor theme="8" tint="-0.249977111117893"/>
        </patternFill>
      </fill>
      <alignment horizontal="general" vertical="center" textRotation="0" wrapText="0" relativeIndent="0" justifyLastLine="0" shrinkToFit="0" readingOrder="0"/>
      <protection locked="1" hidden="1"/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 tint="-4.9989318521683403E-2"/>
        <name val="Segoe UI"/>
        <scheme val="none"/>
      </font>
      <fill>
        <patternFill patternType="solid">
          <fgColor indexed="64"/>
          <bgColor theme="8" tint="-0.249977111117893"/>
        </patternFill>
      </fill>
      <alignment horizontal="general" vertical="center" textRotation="0" wrapText="0" relative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70C0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protection locked="1" hidden="1"/>
    </dxf>
    <dxf>
      <fill>
        <patternFill patternType="solid">
          <fgColor indexed="64"/>
          <bgColor theme="3" tint="0.79998168889431442"/>
        </patternFill>
      </fill>
    </dxf>
    <dxf>
      <fill>
        <patternFill patternType="solid">
          <fgColor indexed="64"/>
          <bgColor theme="3" tint="0.79998168889431442"/>
        </patternFill>
      </fill>
      <alignment horizontal="center" vertical="bottom" textRotation="0" wrapText="0" indent="0" justifyLastLine="0" shrinkToFit="0" readingOrder="0"/>
      <protection locked="1" hidden="1"/>
    </dxf>
    <dxf>
      <numFmt numFmtId="165" formatCode="00000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</dxf>
    <dxf>
      <numFmt numFmtId="4" formatCode="#,##0.00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solid">
          <fgColor indexed="64"/>
          <bgColor theme="3" tint="0.79998168889431442"/>
        </patternFill>
      </fill>
      <alignment horizontal="center" vertical="bottom" textRotation="0" wrapText="0" indent="0" justifyLastLine="0" shrinkToFit="0" readingOrder="0"/>
      <protection locked="0" hidden="0"/>
    </dxf>
    <dxf>
      <numFmt numFmtId="166" formatCode="&quot;R$ &quot;#,##0.00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protection locked="1" hidden="1"/>
    </dxf>
    <dxf>
      <numFmt numFmtId="0" formatCode="General"/>
      <fill>
        <patternFill patternType="solid">
          <fgColor indexed="64"/>
          <bgColor theme="0" tint="-4.9989318521683403E-2"/>
        </patternFill>
      </fill>
      <protection locked="1" hidden="1"/>
    </dxf>
    <dxf>
      <numFmt numFmtId="0" formatCode="General"/>
      <fill>
        <patternFill patternType="solid">
          <fgColor indexed="64"/>
          <bgColor theme="0" tint="-4.9989318521683403E-2"/>
        </patternFill>
      </fill>
      <protection locked="1" hidden="1"/>
    </dxf>
    <dxf>
      <numFmt numFmtId="165" formatCode="00000"/>
      <fill>
        <patternFill patternType="solid">
          <fgColor indexed="64"/>
          <bgColor theme="3" tint="0.79998168889431442"/>
        </patternFill>
      </fill>
      <alignment horizontal="left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2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rgb="FF0070C0"/>
        </patternFill>
      </fill>
    </dxf>
    <dxf>
      <numFmt numFmtId="1" formatCode="0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  <protection locked="0" hidden="0"/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  <protection locked="0" hidden="0"/>
    </dxf>
    <dxf>
      <numFmt numFmtId="19" formatCode="dd/mm/yyyy"/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  <protection locked="0" hidden="0"/>
    </dxf>
    <dxf>
      <numFmt numFmtId="0" formatCode="General"/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  <protection locked="1" hidden="1"/>
    </dxf>
    <dxf>
      <numFmt numFmtId="0" formatCode="General"/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  <protection locked="1" hidden="1"/>
    </dxf>
    <dxf>
      <numFmt numFmtId="0" formatCode="General"/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  <protection locked="1" hidden="1"/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  <protection locked="0" hidden="0"/>
    </dxf>
    <dxf>
      <fill>
        <patternFill patternType="solid">
          <fgColor indexed="64"/>
          <bgColor theme="0" tint="-4.9989318521683403E-2"/>
        </patternFill>
      </fill>
      <protection locked="1" hidden="1"/>
    </dxf>
    <dxf>
      <fill>
        <patternFill patternType="solid">
          <fgColor indexed="64"/>
          <bgColor rgb="FF0070C0"/>
        </patternFill>
      </fill>
      <protection locked="1" hidden="1"/>
    </dxf>
    <dxf>
      <numFmt numFmtId="0" formatCode="General"/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</dxf>
    <dxf>
      <font>
        <strike val="0"/>
        <outline val="0"/>
        <shadow val="0"/>
        <u val="none"/>
        <vertAlign val="baseline"/>
        <sz val="11"/>
        <color rgb="FFC00000"/>
        <name val="Calibri"/>
        <scheme val="minor"/>
      </font>
      <numFmt numFmtId="0" formatCode="General"/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  <protection locked="1" hidden="1"/>
    </dxf>
    <dxf>
      <font>
        <strike val="0"/>
        <outline val="0"/>
        <shadow val="0"/>
        <u val="none"/>
        <vertAlign val="baseline"/>
        <sz val="11"/>
        <color rgb="FF0070C0"/>
        <name val="Calibri"/>
        <scheme val="minor"/>
      </font>
      <numFmt numFmtId="0" formatCode="General"/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  <protection locked="1" hidden="1"/>
    </dxf>
    <dxf>
      <numFmt numFmtId="4" formatCode="#,##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  <protection locked="0" hidden="0"/>
    </dxf>
    <dxf>
      <fill>
        <patternFill patternType="solid">
          <fgColor indexed="64"/>
          <bgColor theme="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  <protection locked="0" hidden="0"/>
    </dxf>
    <dxf>
      <fill>
        <patternFill patternType="solid">
          <fgColor indexed="64"/>
          <bgColor theme="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  <protection locked="0" hidden="0"/>
    </dxf>
    <dxf>
      <fill>
        <patternFill patternType="solid">
          <fgColor indexed="64"/>
          <bgColor theme="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  <protection locked="0" hidden="0"/>
    </dxf>
    <dxf>
      <fill>
        <patternFill patternType="solid">
          <fgColor indexed="64"/>
          <bgColor theme="0"/>
        </patternFill>
      </fill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rgb="FF0070C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www.planilhasvba.com" TargetMode="External"/><Relationship Id="rId1" Type="http://schemas.openxmlformats.org/officeDocument/2006/relationships/image" Target="../media/image1.JPG"/></Relationships>
</file>

<file path=xl/drawings/_rels/drawing6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171449</xdr:rowOff>
    </xdr:from>
    <xdr:to>
      <xdr:col>19</xdr:col>
      <xdr:colOff>396240</xdr:colOff>
      <xdr:row>43</xdr:row>
      <xdr:rowOff>165258</xdr:rowOff>
    </xdr:to>
    <xdr:pic macro="[0]!Menu"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61949"/>
          <a:ext cx="11978640" cy="7994809"/>
        </a:xfrm>
        <a:prstGeom prst="rect">
          <a:avLst/>
        </a:prstGeom>
      </xdr:spPr>
    </xdr:pic>
    <xdr:clientData/>
  </xdr:twoCellAnchor>
  <xdr:twoCellAnchor>
    <xdr:from>
      <xdr:col>0</xdr:col>
      <xdr:colOff>361950</xdr:colOff>
      <xdr:row>2</xdr:row>
      <xdr:rowOff>76201</xdr:rowOff>
    </xdr:from>
    <xdr:to>
      <xdr:col>2</xdr:col>
      <xdr:colOff>152400</xdr:colOff>
      <xdr:row>3</xdr:row>
      <xdr:rowOff>142876</xdr:rowOff>
    </xdr:to>
    <xdr:sp macro="[0]!Consultas" textlink="">
      <xdr:nvSpPr>
        <xdr:cNvPr id="14" name="Retângulo de cantos arredondados 13"/>
        <xdr:cNvSpPr/>
      </xdr:nvSpPr>
      <xdr:spPr>
        <a:xfrm>
          <a:off x="361950" y="457201"/>
          <a:ext cx="1009650" cy="257175"/>
        </a:xfrm>
        <a:prstGeom prst="roundRect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CONSULTAS</a:t>
          </a:r>
        </a:p>
      </xdr:txBody>
    </xdr:sp>
    <xdr:clientData/>
  </xdr:twoCellAnchor>
  <xdr:twoCellAnchor>
    <xdr:from>
      <xdr:col>4</xdr:col>
      <xdr:colOff>66675</xdr:colOff>
      <xdr:row>2</xdr:row>
      <xdr:rowOff>76200</xdr:rowOff>
    </xdr:from>
    <xdr:to>
      <xdr:col>5</xdr:col>
      <xdr:colOff>466725</xdr:colOff>
      <xdr:row>3</xdr:row>
      <xdr:rowOff>142875</xdr:rowOff>
    </xdr:to>
    <xdr:sp macro="[0]!Entradas_ir" textlink="">
      <xdr:nvSpPr>
        <xdr:cNvPr id="15" name="Retângulo de cantos arredondados 14"/>
        <xdr:cNvSpPr/>
      </xdr:nvSpPr>
      <xdr:spPr>
        <a:xfrm>
          <a:off x="2505075" y="457200"/>
          <a:ext cx="1009650" cy="257175"/>
        </a:xfrm>
        <a:prstGeom prst="roundRect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ENTRADAS</a:t>
          </a:r>
        </a:p>
      </xdr:txBody>
    </xdr:sp>
    <xdr:clientData/>
  </xdr:twoCellAnchor>
  <xdr:twoCellAnchor>
    <xdr:from>
      <xdr:col>5</xdr:col>
      <xdr:colOff>533400</xdr:colOff>
      <xdr:row>2</xdr:row>
      <xdr:rowOff>76200</xdr:rowOff>
    </xdr:from>
    <xdr:to>
      <xdr:col>7</xdr:col>
      <xdr:colOff>323850</xdr:colOff>
      <xdr:row>3</xdr:row>
      <xdr:rowOff>142875</xdr:rowOff>
    </xdr:to>
    <xdr:sp macro="[0]!Saídas_ir" textlink="">
      <xdr:nvSpPr>
        <xdr:cNvPr id="16" name="Retângulo de cantos arredondados 15"/>
        <xdr:cNvSpPr/>
      </xdr:nvSpPr>
      <xdr:spPr>
        <a:xfrm>
          <a:off x="3581400" y="457200"/>
          <a:ext cx="1009650" cy="257175"/>
        </a:xfrm>
        <a:prstGeom prst="roundRect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CAIXA</a:t>
          </a:r>
        </a:p>
      </xdr:txBody>
    </xdr:sp>
    <xdr:clientData/>
  </xdr:twoCellAnchor>
  <xdr:twoCellAnchor>
    <xdr:from>
      <xdr:col>7</xdr:col>
      <xdr:colOff>390525</xdr:colOff>
      <xdr:row>2</xdr:row>
      <xdr:rowOff>76200</xdr:rowOff>
    </xdr:from>
    <xdr:to>
      <xdr:col>9</xdr:col>
      <xdr:colOff>180975</xdr:colOff>
      <xdr:row>3</xdr:row>
      <xdr:rowOff>142875</xdr:rowOff>
    </xdr:to>
    <xdr:sp macro="[0]!Clientes_ir" textlink="">
      <xdr:nvSpPr>
        <xdr:cNvPr id="17" name="Retângulo de cantos arredondados 16"/>
        <xdr:cNvSpPr/>
      </xdr:nvSpPr>
      <xdr:spPr>
        <a:xfrm>
          <a:off x="4657725" y="457200"/>
          <a:ext cx="1009650" cy="257175"/>
        </a:xfrm>
        <a:prstGeom prst="roundRect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CLIENTES</a:t>
          </a:r>
        </a:p>
      </xdr:txBody>
    </xdr:sp>
    <xdr:clientData/>
  </xdr:twoCellAnchor>
  <xdr:twoCellAnchor>
    <xdr:from>
      <xdr:col>9</xdr:col>
      <xdr:colOff>257176</xdr:colOff>
      <xdr:row>2</xdr:row>
      <xdr:rowOff>76200</xdr:rowOff>
    </xdr:from>
    <xdr:to>
      <xdr:col>11</xdr:col>
      <xdr:colOff>257176</xdr:colOff>
      <xdr:row>3</xdr:row>
      <xdr:rowOff>142875</xdr:rowOff>
    </xdr:to>
    <xdr:sp macro="[0]!Configuração" textlink="">
      <xdr:nvSpPr>
        <xdr:cNvPr id="18" name="Retângulo de cantos arredondados 17"/>
        <xdr:cNvSpPr/>
      </xdr:nvSpPr>
      <xdr:spPr>
        <a:xfrm>
          <a:off x="5743576" y="457200"/>
          <a:ext cx="1219200" cy="257175"/>
        </a:xfrm>
        <a:prstGeom prst="roundRect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CONFIGURAÇAO</a:t>
          </a:r>
        </a:p>
      </xdr:txBody>
    </xdr:sp>
    <xdr:clientData/>
  </xdr:twoCellAnchor>
  <xdr:twoCellAnchor>
    <xdr:from>
      <xdr:col>11</xdr:col>
      <xdr:colOff>323849</xdr:colOff>
      <xdr:row>2</xdr:row>
      <xdr:rowOff>76200</xdr:rowOff>
    </xdr:from>
    <xdr:to>
      <xdr:col>13</xdr:col>
      <xdr:colOff>200024</xdr:colOff>
      <xdr:row>3</xdr:row>
      <xdr:rowOff>142875</xdr:rowOff>
    </xdr:to>
    <xdr:sp macro="[0]!Informação" textlink="">
      <xdr:nvSpPr>
        <xdr:cNvPr id="19" name="Retângulo de cantos arredondados 18"/>
        <xdr:cNvSpPr/>
      </xdr:nvSpPr>
      <xdr:spPr>
        <a:xfrm>
          <a:off x="7029449" y="457200"/>
          <a:ext cx="1095375" cy="257175"/>
        </a:xfrm>
        <a:prstGeom prst="roundRect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INFORMAÇÃO</a:t>
          </a:r>
        </a:p>
      </xdr:txBody>
    </xdr:sp>
    <xdr:clientData/>
  </xdr:twoCellAnchor>
  <xdr:twoCellAnchor>
    <xdr:from>
      <xdr:col>13</xdr:col>
      <xdr:colOff>266700</xdr:colOff>
      <xdr:row>2</xdr:row>
      <xdr:rowOff>66675</xdr:rowOff>
    </xdr:from>
    <xdr:to>
      <xdr:col>15</xdr:col>
      <xdr:colOff>57150</xdr:colOff>
      <xdr:row>3</xdr:row>
      <xdr:rowOff>133350</xdr:rowOff>
    </xdr:to>
    <xdr:sp macro="[0]!Ajuda" textlink="">
      <xdr:nvSpPr>
        <xdr:cNvPr id="20" name="Retângulo de cantos arredondados 19"/>
        <xdr:cNvSpPr/>
      </xdr:nvSpPr>
      <xdr:spPr>
        <a:xfrm>
          <a:off x="8191500" y="447675"/>
          <a:ext cx="1009650" cy="257175"/>
        </a:xfrm>
        <a:prstGeom prst="roundRect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AJUDA</a:t>
          </a:r>
        </a:p>
      </xdr:txBody>
    </xdr:sp>
    <xdr:clientData/>
  </xdr:twoCellAnchor>
  <xdr:twoCellAnchor>
    <xdr:from>
      <xdr:col>3</xdr:col>
      <xdr:colOff>228600</xdr:colOff>
      <xdr:row>10</xdr:row>
      <xdr:rowOff>104774</xdr:rowOff>
    </xdr:from>
    <xdr:to>
      <xdr:col>6</xdr:col>
      <xdr:colOff>381000</xdr:colOff>
      <xdr:row>21</xdr:row>
      <xdr:rowOff>95249</xdr:rowOff>
    </xdr:to>
    <xdr:sp macro="[0]!Menu" textlink="">
      <xdr:nvSpPr>
        <xdr:cNvPr id="23" name="Retângulo de cantos arredondados 22"/>
        <xdr:cNvSpPr/>
      </xdr:nvSpPr>
      <xdr:spPr>
        <a:xfrm>
          <a:off x="2057400" y="2009774"/>
          <a:ext cx="1981200" cy="2085975"/>
        </a:xfrm>
        <a:prstGeom prst="roundRect">
          <a:avLst/>
        </a:prstGeom>
        <a:ln>
          <a:noFill/>
        </a:ln>
      </xdr:spPr>
      <xdr:style>
        <a:lnRef idx="1">
          <a:schemeClr val="accent1"/>
        </a:lnRef>
        <a:fillRef idx="1003">
          <a:schemeClr val="dk2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9000" b="1" cap="none" spc="100">
            <a:ln w="18000">
              <a:solidFill>
                <a:schemeClr val="accent1">
                  <a:satMod val="200000"/>
                  <a:tint val="72000"/>
                </a:schemeClr>
              </a:solidFill>
              <a:prstDash val="solid"/>
            </a:ln>
            <a:solidFill>
              <a:schemeClr val="accent1">
                <a:satMod val="280000"/>
                <a:tint val="100000"/>
                <a:alpha val="5700"/>
              </a:schemeClr>
            </a:solidFill>
            <a:effectLst>
              <a:outerShdw blurRad="25000" dist="20000" dir="16020000" algn="tl">
                <a:schemeClr val="accent1">
                  <a:satMod val="200000"/>
                  <a:shade val="1000"/>
                  <a:alpha val="6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276226</xdr:colOff>
      <xdr:row>30</xdr:row>
      <xdr:rowOff>95251</xdr:rowOff>
    </xdr:from>
    <xdr:to>
      <xdr:col>8</xdr:col>
      <xdr:colOff>400050</xdr:colOff>
      <xdr:row>32</xdr:row>
      <xdr:rowOff>76201</xdr:rowOff>
    </xdr:to>
    <xdr:sp macro="[0]!Menu" textlink="">
      <xdr:nvSpPr>
        <xdr:cNvPr id="24" name="Retângulo de cantos arredondados 23"/>
        <xdr:cNvSpPr/>
      </xdr:nvSpPr>
      <xdr:spPr>
        <a:xfrm>
          <a:off x="885826" y="5810251"/>
          <a:ext cx="4391024" cy="361950"/>
        </a:xfrm>
        <a:prstGeom prst="roundRect">
          <a:avLst/>
        </a:prstGeom>
        <a:solidFill>
          <a:schemeClr val="bg1">
            <a:lumMod val="65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atin typeface="Eras Light ITC" pitchFamily="34" charset="0"/>
            </a:rPr>
            <a:t>SISTEMA</a:t>
          </a:r>
          <a:r>
            <a:rPr lang="pt-BR" sz="1600" baseline="0">
              <a:latin typeface="Eras Light ITC" pitchFamily="34" charset="0"/>
            </a:rPr>
            <a:t> EM EXCEL /</a:t>
          </a:r>
          <a:r>
            <a:rPr lang="pt-BR" sz="1600">
              <a:latin typeface="Eras Light ITC" pitchFamily="34" charset="0"/>
            </a:rPr>
            <a:t>CONTROLE</a:t>
          </a:r>
          <a:r>
            <a:rPr lang="pt-BR" sz="1600" baseline="0">
              <a:latin typeface="Eras Light ITC" pitchFamily="34" charset="0"/>
            </a:rPr>
            <a:t> DE VENDAS</a:t>
          </a:r>
          <a:endParaRPr lang="pt-BR" sz="1600">
            <a:latin typeface="Eras Light ITC" pitchFamily="34" charset="0"/>
          </a:endParaRPr>
        </a:p>
      </xdr:txBody>
    </xdr:sp>
    <xdr:clientData/>
  </xdr:twoCellAnchor>
  <xdr:twoCellAnchor>
    <xdr:from>
      <xdr:col>2</xdr:col>
      <xdr:colOff>209550</xdr:colOff>
      <xdr:row>2</xdr:row>
      <xdr:rowOff>85725</xdr:rowOff>
    </xdr:from>
    <xdr:to>
      <xdr:col>4</xdr:col>
      <xdr:colOff>0</xdr:colOff>
      <xdr:row>3</xdr:row>
      <xdr:rowOff>152400</xdr:rowOff>
    </xdr:to>
    <xdr:sp macro="[0]!Estoque_ir" textlink="">
      <xdr:nvSpPr>
        <xdr:cNvPr id="25" name="Retângulo de cantos arredondados 24"/>
        <xdr:cNvSpPr/>
      </xdr:nvSpPr>
      <xdr:spPr>
        <a:xfrm>
          <a:off x="1428750" y="466725"/>
          <a:ext cx="1009650" cy="257175"/>
        </a:xfrm>
        <a:prstGeom prst="roundRect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Estoque</a:t>
          </a:r>
        </a:p>
      </xdr:txBody>
    </xdr:sp>
    <xdr:clientData/>
  </xdr:twoCellAnchor>
  <xdr:twoCellAnchor>
    <xdr:from>
      <xdr:col>15</xdr:col>
      <xdr:colOff>95249</xdr:colOff>
      <xdr:row>2</xdr:row>
      <xdr:rowOff>76199</xdr:rowOff>
    </xdr:from>
    <xdr:to>
      <xdr:col>18</xdr:col>
      <xdr:colOff>314324</xdr:colOff>
      <xdr:row>3</xdr:row>
      <xdr:rowOff>142874</xdr:rowOff>
    </xdr:to>
    <xdr:sp macro="[0]!Ajuda" textlink="">
      <xdr:nvSpPr>
        <xdr:cNvPr id="13" name="Retângulo de cantos arredondados 12">
          <a:hlinkClick xmlns:r="http://schemas.openxmlformats.org/officeDocument/2006/relationships" r:id="rId2"/>
        </xdr:cNvPr>
        <xdr:cNvSpPr/>
      </xdr:nvSpPr>
      <xdr:spPr>
        <a:xfrm>
          <a:off x="9239249" y="457199"/>
          <a:ext cx="2047875" cy="257175"/>
        </a:xfrm>
        <a:prstGeom prst="roundRect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Adquira</a:t>
          </a:r>
          <a:r>
            <a:rPr lang="pt-BR" sz="1100" baseline="0"/>
            <a:t>  a versão completa</a:t>
          </a:r>
          <a:endParaRPr lang="pt-BR" sz="1100"/>
        </a:p>
      </xdr:txBody>
    </xdr:sp>
    <xdr:clientData/>
  </xdr:twoCellAnchor>
  <xdr:twoCellAnchor editAs="oneCell">
    <xdr:from>
      <xdr:col>11</xdr:col>
      <xdr:colOff>276225</xdr:colOff>
      <xdr:row>4</xdr:row>
      <xdr:rowOff>114300</xdr:rowOff>
    </xdr:from>
    <xdr:to>
      <xdr:col>19</xdr:col>
      <xdr:colOff>67326</xdr:colOff>
      <xdr:row>9</xdr:row>
      <xdr:rowOff>181117</xdr:rowOff>
    </xdr:to>
    <xdr:pic>
      <xdr:nvPicPr>
        <xdr:cNvPr id="2" name="Imagem 1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1825" y="876300"/>
          <a:ext cx="4667901" cy="101931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514350</xdr:colOff>
      <xdr:row>12</xdr:row>
      <xdr:rowOff>180974</xdr:rowOff>
    </xdr:from>
    <xdr:to>
      <xdr:col>6</xdr:col>
      <xdr:colOff>209550</xdr:colOff>
      <xdr:row>15</xdr:row>
      <xdr:rowOff>114299</xdr:rowOff>
    </xdr:to>
    <xdr:sp macro="[0]!Estoque_ir" textlink="">
      <xdr:nvSpPr>
        <xdr:cNvPr id="3" name="Retângulo 2"/>
        <xdr:cNvSpPr/>
      </xdr:nvSpPr>
      <xdr:spPr>
        <a:xfrm>
          <a:off x="2952750" y="2867024"/>
          <a:ext cx="914400" cy="504825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0070C0"/>
              </a:solidFill>
            </a:rPr>
            <a:t>Estoque</a:t>
          </a:r>
        </a:p>
      </xdr:txBody>
    </xdr:sp>
    <xdr:clientData/>
  </xdr:twoCellAnchor>
  <xdr:twoCellAnchor>
    <xdr:from>
      <xdr:col>6</xdr:col>
      <xdr:colOff>219075</xdr:colOff>
      <xdr:row>12</xdr:row>
      <xdr:rowOff>180974</xdr:rowOff>
    </xdr:from>
    <xdr:to>
      <xdr:col>7</xdr:col>
      <xdr:colOff>457200</xdr:colOff>
      <xdr:row>15</xdr:row>
      <xdr:rowOff>114299</xdr:rowOff>
    </xdr:to>
    <xdr:sp macro="[0]!Entradas_ir" textlink="">
      <xdr:nvSpPr>
        <xdr:cNvPr id="4" name="Retângulo 3"/>
        <xdr:cNvSpPr/>
      </xdr:nvSpPr>
      <xdr:spPr>
        <a:xfrm>
          <a:off x="3876675" y="2867024"/>
          <a:ext cx="914400" cy="504825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0070C0"/>
              </a:solidFill>
            </a:rPr>
            <a:t>Entradas</a:t>
          </a:r>
        </a:p>
      </xdr:txBody>
    </xdr:sp>
    <xdr:clientData/>
  </xdr:twoCellAnchor>
  <xdr:twoCellAnchor>
    <xdr:from>
      <xdr:col>9</xdr:col>
      <xdr:colOff>171450</xdr:colOff>
      <xdr:row>12</xdr:row>
      <xdr:rowOff>180974</xdr:rowOff>
    </xdr:from>
    <xdr:to>
      <xdr:col>10</xdr:col>
      <xdr:colOff>476250</xdr:colOff>
      <xdr:row>15</xdr:row>
      <xdr:rowOff>114299</xdr:rowOff>
    </xdr:to>
    <xdr:sp macro="[0]!Clientes_ir" textlink="">
      <xdr:nvSpPr>
        <xdr:cNvPr id="5" name="Retângulo 4"/>
        <xdr:cNvSpPr/>
      </xdr:nvSpPr>
      <xdr:spPr>
        <a:xfrm>
          <a:off x="5724525" y="2867024"/>
          <a:ext cx="914400" cy="504825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0070C0"/>
              </a:solidFill>
            </a:rPr>
            <a:t>Cliente</a:t>
          </a:r>
        </a:p>
      </xdr:txBody>
    </xdr:sp>
    <xdr:clientData/>
  </xdr:twoCellAnchor>
  <xdr:twoCellAnchor>
    <xdr:from>
      <xdr:col>10</xdr:col>
      <xdr:colOff>485775</xdr:colOff>
      <xdr:row>12</xdr:row>
      <xdr:rowOff>180974</xdr:rowOff>
    </xdr:from>
    <xdr:to>
      <xdr:col>12</xdr:col>
      <xdr:colOff>257175</xdr:colOff>
      <xdr:row>15</xdr:row>
      <xdr:rowOff>114299</xdr:rowOff>
    </xdr:to>
    <xdr:sp macro="[0]!Configuração" textlink="">
      <xdr:nvSpPr>
        <xdr:cNvPr id="6" name="Retângulo 5"/>
        <xdr:cNvSpPr/>
      </xdr:nvSpPr>
      <xdr:spPr>
        <a:xfrm>
          <a:off x="6648450" y="2867024"/>
          <a:ext cx="990600" cy="504825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0070C0"/>
              </a:solidFill>
            </a:rPr>
            <a:t>Configuração</a:t>
          </a:r>
        </a:p>
      </xdr:txBody>
    </xdr:sp>
    <xdr:clientData/>
  </xdr:twoCellAnchor>
  <xdr:twoCellAnchor>
    <xdr:from>
      <xdr:col>7</xdr:col>
      <xdr:colOff>466725</xdr:colOff>
      <xdr:row>12</xdr:row>
      <xdr:rowOff>180974</xdr:rowOff>
    </xdr:from>
    <xdr:to>
      <xdr:col>9</xdr:col>
      <xdr:colOff>161925</xdr:colOff>
      <xdr:row>15</xdr:row>
      <xdr:rowOff>114299</xdr:rowOff>
    </xdr:to>
    <xdr:sp macro="[0]!Saídas_ir" textlink="">
      <xdr:nvSpPr>
        <xdr:cNvPr id="7" name="Retângulo 6"/>
        <xdr:cNvSpPr/>
      </xdr:nvSpPr>
      <xdr:spPr>
        <a:xfrm>
          <a:off x="4800600" y="2867024"/>
          <a:ext cx="914400" cy="504825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0070C0"/>
              </a:solidFill>
            </a:rPr>
            <a:t>Caixa</a:t>
          </a:r>
        </a:p>
      </xdr:txBody>
    </xdr:sp>
    <xdr:clientData/>
  </xdr:twoCellAnchor>
  <xdr:twoCellAnchor>
    <xdr:from>
      <xdr:col>4</xdr:col>
      <xdr:colOff>257174</xdr:colOff>
      <xdr:row>3</xdr:row>
      <xdr:rowOff>19050</xdr:rowOff>
    </xdr:from>
    <xdr:to>
      <xdr:col>6</xdr:col>
      <xdr:colOff>123825</xdr:colOff>
      <xdr:row>3</xdr:row>
      <xdr:rowOff>238125</xdr:rowOff>
    </xdr:to>
    <xdr:sp macro="[0]!Limpar_codigo" textlink="">
      <xdr:nvSpPr>
        <xdr:cNvPr id="8" name="Retângulo de cantos arredondados 7"/>
        <xdr:cNvSpPr/>
      </xdr:nvSpPr>
      <xdr:spPr>
        <a:xfrm>
          <a:off x="2695574" y="628650"/>
          <a:ext cx="1085851" cy="219075"/>
        </a:xfrm>
        <a:prstGeom prst="roundRect">
          <a:avLst/>
        </a:prstGeom>
        <a:ln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chemeClr val="bg1"/>
              </a:solidFill>
            </a:rPr>
            <a:t>Limpar</a:t>
          </a:r>
          <a:r>
            <a:rPr lang="pt-BR" sz="900" b="1" baseline="0">
              <a:solidFill>
                <a:schemeClr val="bg1"/>
              </a:solidFill>
            </a:rPr>
            <a:t> Código</a:t>
          </a:r>
          <a:endParaRPr lang="pt-BR" sz="900" b="1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200025</xdr:colOff>
      <xdr:row>12</xdr:row>
      <xdr:rowOff>180974</xdr:rowOff>
    </xdr:from>
    <xdr:to>
      <xdr:col>4</xdr:col>
      <xdr:colOff>504825</xdr:colOff>
      <xdr:row>15</xdr:row>
      <xdr:rowOff>114299</xdr:rowOff>
    </xdr:to>
    <xdr:sp macro="[0]!Menu" textlink="">
      <xdr:nvSpPr>
        <xdr:cNvPr id="10" name="Retângulo 9"/>
        <xdr:cNvSpPr/>
      </xdr:nvSpPr>
      <xdr:spPr>
        <a:xfrm>
          <a:off x="2028825" y="2867024"/>
          <a:ext cx="914400" cy="504825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0070C0"/>
              </a:solidFill>
            </a:rPr>
            <a:t>Menu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771525</xdr:colOff>
      <xdr:row>0</xdr:row>
      <xdr:rowOff>142875</xdr:rowOff>
    </xdr:from>
    <xdr:to>
      <xdr:col>1</xdr:col>
      <xdr:colOff>1352548</xdr:colOff>
      <xdr:row>2</xdr:row>
      <xdr:rowOff>9525</xdr:rowOff>
    </xdr:to>
    <xdr:sp macro="[0]!Menu" textlink="">
      <xdr:nvSpPr>
        <xdr:cNvPr id="2" name="Retângulo 1"/>
        <xdr:cNvSpPr/>
      </xdr:nvSpPr>
      <xdr:spPr>
        <a:xfrm>
          <a:off x="1228725" y="142875"/>
          <a:ext cx="581023" cy="247650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rgbClr val="0070C0"/>
              </a:solidFill>
            </a:rPr>
            <a:t>Menu</a:t>
          </a:r>
        </a:p>
      </xdr:txBody>
    </xdr:sp>
    <xdr:clientData/>
  </xdr:twoCellAnchor>
  <xdr:twoCellAnchor>
    <xdr:from>
      <xdr:col>1</xdr:col>
      <xdr:colOff>1362075</xdr:colOff>
      <xdr:row>0</xdr:row>
      <xdr:rowOff>142875</xdr:rowOff>
    </xdr:from>
    <xdr:to>
      <xdr:col>1</xdr:col>
      <xdr:colOff>2000248</xdr:colOff>
      <xdr:row>2</xdr:row>
      <xdr:rowOff>9525</xdr:rowOff>
    </xdr:to>
    <xdr:sp macro="[0]!Estoque_ir" textlink="">
      <xdr:nvSpPr>
        <xdr:cNvPr id="3" name="Retângulo 2"/>
        <xdr:cNvSpPr/>
      </xdr:nvSpPr>
      <xdr:spPr>
        <a:xfrm>
          <a:off x="1819275" y="142875"/>
          <a:ext cx="638173" cy="247650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rgbClr val="0070C0"/>
              </a:solidFill>
            </a:rPr>
            <a:t>Estoque</a:t>
          </a:r>
        </a:p>
      </xdr:txBody>
    </xdr:sp>
    <xdr:clientData/>
  </xdr:twoCellAnchor>
  <xdr:twoCellAnchor>
    <xdr:from>
      <xdr:col>1</xdr:col>
      <xdr:colOff>2009774</xdr:colOff>
      <xdr:row>0</xdr:row>
      <xdr:rowOff>142875</xdr:rowOff>
    </xdr:from>
    <xdr:to>
      <xdr:col>1</xdr:col>
      <xdr:colOff>2686049</xdr:colOff>
      <xdr:row>2</xdr:row>
      <xdr:rowOff>9525</xdr:rowOff>
    </xdr:to>
    <xdr:sp macro="[0]!Entradas_ir" textlink="">
      <xdr:nvSpPr>
        <xdr:cNvPr id="4" name="Retângulo 3"/>
        <xdr:cNvSpPr/>
      </xdr:nvSpPr>
      <xdr:spPr>
        <a:xfrm>
          <a:off x="2466974" y="142875"/>
          <a:ext cx="676275" cy="247650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rgbClr val="0070C0"/>
              </a:solidFill>
            </a:rPr>
            <a:t>Entradas</a:t>
          </a:r>
        </a:p>
      </xdr:txBody>
    </xdr:sp>
    <xdr:clientData/>
  </xdr:twoCellAnchor>
  <xdr:twoCellAnchor>
    <xdr:from>
      <xdr:col>1</xdr:col>
      <xdr:colOff>3286125</xdr:colOff>
      <xdr:row>0</xdr:row>
      <xdr:rowOff>142875</xdr:rowOff>
    </xdr:from>
    <xdr:to>
      <xdr:col>2</xdr:col>
      <xdr:colOff>190498</xdr:colOff>
      <xdr:row>2</xdr:row>
      <xdr:rowOff>9525</xdr:rowOff>
    </xdr:to>
    <xdr:sp macro="[0]!Clientes_ir" textlink="">
      <xdr:nvSpPr>
        <xdr:cNvPr id="5" name="Retângulo 4"/>
        <xdr:cNvSpPr/>
      </xdr:nvSpPr>
      <xdr:spPr>
        <a:xfrm>
          <a:off x="3743325" y="142875"/>
          <a:ext cx="581023" cy="247650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rgbClr val="0070C0"/>
              </a:solidFill>
            </a:rPr>
            <a:t>Cliente</a:t>
          </a:r>
        </a:p>
      </xdr:txBody>
    </xdr:sp>
    <xdr:clientData/>
  </xdr:twoCellAnchor>
  <xdr:twoCellAnchor>
    <xdr:from>
      <xdr:col>2</xdr:col>
      <xdr:colOff>200022</xdr:colOff>
      <xdr:row>0</xdr:row>
      <xdr:rowOff>142875</xdr:rowOff>
    </xdr:from>
    <xdr:to>
      <xdr:col>3</xdr:col>
      <xdr:colOff>9525</xdr:colOff>
      <xdr:row>2</xdr:row>
      <xdr:rowOff>9525</xdr:rowOff>
    </xdr:to>
    <xdr:sp macro="[0]!Consultas" textlink="">
      <xdr:nvSpPr>
        <xdr:cNvPr id="6" name="Retângulo 5"/>
        <xdr:cNvSpPr/>
      </xdr:nvSpPr>
      <xdr:spPr>
        <a:xfrm>
          <a:off x="4333872" y="142875"/>
          <a:ext cx="733428" cy="247650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rgbClr val="0070C0"/>
              </a:solidFill>
            </a:rPr>
            <a:t>Consultas</a:t>
          </a:r>
        </a:p>
      </xdr:txBody>
    </xdr:sp>
    <xdr:clientData/>
  </xdr:twoCellAnchor>
  <xdr:twoCellAnchor>
    <xdr:from>
      <xdr:col>1</xdr:col>
      <xdr:colOff>2695575</xdr:colOff>
      <xdr:row>0</xdr:row>
      <xdr:rowOff>142875</xdr:rowOff>
    </xdr:from>
    <xdr:to>
      <xdr:col>1</xdr:col>
      <xdr:colOff>3276598</xdr:colOff>
      <xdr:row>2</xdr:row>
      <xdr:rowOff>9525</xdr:rowOff>
    </xdr:to>
    <xdr:sp macro="[0]!Saídas_ir" textlink="">
      <xdr:nvSpPr>
        <xdr:cNvPr id="7" name="Retângulo 6"/>
        <xdr:cNvSpPr/>
      </xdr:nvSpPr>
      <xdr:spPr>
        <a:xfrm>
          <a:off x="3152775" y="142875"/>
          <a:ext cx="581023" cy="247650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rgbClr val="0070C0"/>
              </a:solidFill>
            </a:rPr>
            <a:t>Caixa</a:t>
          </a:r>
        </a:p>
      </xdr:txBody>
    </xdr:sp>
    <xdr:clientData/>
  </xdr:twoCellAnchor>
  <xdr:twoCellAnchor>
    <xdr:from>
      <xdr:col>0</xdr:col>
      <xdr:colOff>447675</xdr:colOff>
      <xdr:row>0</xdr:row>
      <xdr:rowOff>123825</xdr:rowOff>
    </xdr:from>
    <xdr:to>
      <xdr:col>1</xdr:col>
      <xdr:colOff>600075</xdr:colOff>
      <xdr:row>2</xdr:row>
      <xdr:rowOff>28575</xdr:rowOff>
    </xdr:to>
    <xdr:sp macro="[0]!sss" textlink="">
      <xdr:nvSpPr>
        <xdr:cNvPr id="8" name="Retângulo de cantos arredondados 7"/>
        <xdr:cNvSpPr/>
      </xdr:nvSpPr>
      <xdr:spPr>
        <a:xfrm>
          <a:off x="447675" y="123825"/>
          <a:ext cx="609600" cy="28575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Novo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266702</xdr:colOff>
      <xdr:row>0</xdr:row>
      <xdr:rowOff>95250</xdr:rowOff>
    </xdr:from>
    <xdr:to>
      <xdr:col>1</xdr:col>
      <xdr:colOff>847725</xdr:colOff>
      <xdr:row>1</xdr:row>
      <xdr:rowOff>152400</xdr:rowOff>
    </xdr:to>
    <xdr:sp macro="[0]!Menu" textlink="">
      <xdr:nvSpPr>
        <xdr:cNvPr id="2" name="Retângulo 1"/>
        <xdr:cNvSpPr/>
      </xdr:nvSpPr>
      <xdr:spPr>
        <a:xfrm>
          <a:off x="876302" y="95250"/>
          <a:ext cx="581023" cy="247650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rgbClr val="0070C0"/>
              </a:solidFill>
            </a:rPr>
            <a:t>Menu</a:t>
          </a:r>
        </a:p>
      </xdr:txBody>
    </xdr:sp>
    <xdr:clientData/>
  </xdr:twoCellAnchor>
  <xdr:twoCellAnchor>
    <xdr:from>
      <xdr:col>1</xdr:col>
      <xdr:colOff>857252</xdr:colOff>
      <xdr:row>0</xdr:row>
      <xdr:rowOff>95250</xdr:rowOff>
    </xdr:from>
    <xdr:to>
      <xdr:col>1</xdr:col>
      <xdr:colOff>1495425</xdr:colOff>
      <xdr:row>1</xdr:row>
      <xdr:rowOff>152400</xdr:rowOff>
    </xdr:to>
    <xdr:sp macro="[0]!Estoque_ir" textlink="">
      <xdr:nvSpPr>
        <xdr:cNvPr id="3" name="Retângulo 2"/>
        <xdr:cNvSpPr/>
      </xdr:nvSpPr>
      <xdr:spPr>
        <a:xfrm>
          <a:off x="1466852" y="95250"/>
          <a:ext cx="638173" cy="247650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rgbClr val="0070C0"/>
              </a:solidFill>
            </a:rPr>
            <a:t>Estoque</a:t>
          </a:r>
        </a:p>
      </xdr:txBody>
    </xdr:sp>
    <xdr:clientData/>
  </xdr:twoCellAnchor>
  <xdr:twoCellAnchor>
    <xdr:from>
      <xdr:col>1</xdr:col>
      <xdr:colOff>1504951</xdr:colOff>
      <xdr:row>0</xdr:row>
      <xdr:rowOff>95250</xdr:rowOff>
    </xdr:from>
    <xdr:to>
      <xdr:col>1</xdr:col>
      <xdr:colOff>2162174</xdr:colOff>
      <xdr:row>1</xdr:row>
      <xdr:rowOff>152400</xdr:rowOff>
    </xdr:to>
    <xdr:sp macro="[0]!Entradas_ir" textlink="">
      <xdr:nvSpPr>
        <xdr:cNvPr id="4" name="Retângulo 3"/>
        <xdr:cNvSpPr/>
      </xdr:nvSpPr>
      <xdr:spPr>
        <a:xfrm>
          <a:off x="2114551" y="95250"/>
          <a:ext cx="657223" cy="247650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rgbClr val="0070C0"/>
              </a:solidFill>
            </a:rPr>
            <a:t>Entradas</a:t>
          </a:r>
        </a:p>
      </xdr:txBody>
    </xdr:sp>
    <xdr:clientData/>
  </xdr:twoCellAnchor>
  <xdr:twoCellAnchor>
    <xdr:from>
      <xdr:col>1</xdr:col>
      <xdr:colOff>2762252</xdr:colOff>
      <xdr:row>0</xdr:row>
      <xdr:rowOff>95250</xdr:rowOff>
    </xdr:from>
    <xdr:to>
      <xdr:col>1</xdr:col>
      <xdr:colOff>3343275</xdr:colOff>
      <xdr:row>1</xdr:row>
      <xdr:rowOff>152400</xdr:rowOff>
    </xdr:to>
    <xdr:sp macro="[0]!Clientes_ir" textlink="">
      <xdr:nvSpPr>
        <xdr:cNvPr id="5" name="Retângulo 4"/>
        <xdr:cNvSpPr/>
      </xdr:nvSpPr>
      <xdr:spPr>
        <a:xfrm>
          <a:off x="3371852" y="95250"/>
          <a:ext cx="581023" cy="247650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rgbClr val="0070C0"/>
              </a:solidFill>
            </a:rPr>
            <a:t>Cliente</a:t>
          </a:r>
        </a:p>
      </xdr:txBody>
    </xdr:sp>
    <xdr:clientData/>
  </xdr:twoCellAnchor>
  <xdr:twoCellAnchor>
    <xdr:from>
      <xdr:col>1</xdr:col>
      <xdr:colOff>3352800</xdr:colOff>
      <xdr:row>0</xdr:row>
      <xdr:rowOff>95250</xdr:rowOff>
    </xdr:from>
    <xdr:to>
      <xdr:col>2</xdr:col>
      <xdr:colOff>219075</xdr:colOff>
      <xdr:row>1</xdr:row>
      <xdr:rowOff>152400</xdr:rowOff>
    </xdr:to>
    <xdr:sp macro="[0]!Consultas" textlink="">
      <xdr:nvSpPr>
        <xdr:cNvPr id="6" name="Retângulo 5"/>
        <xdr:cNvSpPr/>
      </xdr:nvSpPr>
      <xdr:spPr>
        <a:xfrm>
          <a:off x="3962400" y="95250"/>
          <a:ext cx="723900" cy="247650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rgbClr val="0070C0"/>
              </a:solidFill>
            </a:rPr>
            <a:t>Consultas</a:t>
          </a:r>
        </a:p>
      </xdr:txBody>
    </xdr:sp>
    <xdr:clientData/>
  </xdr:twoCellAnchor>
  <xdr:twoCellAnchor>
    <xdr:from>
      <xdr:col>1</xdr:col>
      <xdr:colOff>2171702</xdr:colOff>
      <xdr:row>0</xdr:row>
      <xdr:rowOff>95250</xdr:rowOff>
    </xdr:from>
    <xdr:to>
      <xdr:col>1</xdr:col>
      <xdr:colOff>2752725</xdr:colOff>
      <xdr:row>1</xdr:row>
      <xdr:rowOff>152400</xdr:rowOff>
    </xdr:to>
    <xdr:sp macro="[0]!Saídas_ir" textlink="">
      <xdr:nvSpPr>
        <xdr:cNvPr id="7" name="Retângulo 6"/>
        <xdr:cNvSpPr/>
      </xdr:nvSpPr>
      <xdr:spPr>
        <a:xfrm>
          <a:off x="2781302" y="95250"/>
          <a:ext cx="581023" cy="247650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rgbClr val="0070C0"/>
              </a:solidFill>
            </a:rPr>
            <a:t>Caixa</a:t>
          </a:r>
        </a:p>
      </xdr:txBody>
    </xdr:sp>
    <xdr:clientData/>
  </xdr:twoCellAnchor>
  <xdr:twoCellAnchor>
    <xdr:from>
      <xdr:col>0</xdr:col>
      <xdr:colOff>228600</xdr:colOff>
      <xdr:row>0</xdr:row>
      <xdr:rowOff>104775</xdr:rowOff>
    </xdr:from>
    <xdr:to>
      <xdr:col>1</xdr:col>
      <xdr:colOff>152400</xdr:colOff>
      <xdr:row>1</xdr:row>
      <xdr:rowOff>161924</xdr:rowOff>
    </xdr:to>
    <xdr:sp macro="[0]!ttt" textlink="">
      <xdr:nvSpPr>
        <xdr:cNvPr id="8" name="Retângulo de cantos arredondados 7"/>
        <xdr:cNvSpPr/>
      </xdr:nvSpPr>
      <xdr:spPr>
        <a:xfrm>
          <a:off x="228600" y="104775"/>
          <a:ext cx="533400" cy="247649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Novo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542925</xdr:colOff>
      <xdr:row>2</xdr:row>
      <xdr:rowOff>57150</xdr:rowOff>
    </xdr:from>
    <xdr:to>
      <xdr:col>1</xdr:col>
      <xdr:colOff>1133475</xdr:colOff>
      <xdr:row>3</xdr:row>
      <xdr:rowOff>114300</xdr:rowOff>
    </xdr:to>
    <xdr:sp macro="[0]!Clientes_ir" textlink="">
      <xdr:nvSpPr>
        <xdr:cNvPr id="3" name="Retângulo 2"/>
        <xdr:cNvSpPr/>
      </xdr:nvSpPr>
      <xdr:spPr>
        <a:xfrm>
          <a:off x="1152525" y="457200"/>
          <a:ext cx="590550" cy="257175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rgbClr val="0070C0"/>
              </a:solidFill>
            </a:rPr>
            <a:t>Clientes</a:t>
          </a:r>
        </a:p>
      </xdr:txBody>
    </xdr:sp>
    <xdr:clientData/>
  </xdr:twoCellAnchor>
  <xdr:twoCellAnchor>
    <xdr:from>
      <xdr:col>1</xdr:col>
      <xdr:colOff>1143001</xdr:colOff>
      <xdr:row>2</xdr:row>
      <xdr:rowOff>57150</xdr:rowOff>
    </xdr:from>
    <xdr:to>
      <xdr:col>1</xdr:col>
      <xdr:colOff>1752743</xdr:colOff>
      <xdr:row>3</xdr:row>
      <xdr:rowOff>114300</xdr:rowOff>
    </xdr:to>
    <xdr:sp macro="[0]!Estoque_ir" textlink="">
      <xdr:nvSpPr>
        <xdr:cNvPr id="4" name="Retângulo 3"/>
        <xdr:cNvSpPr/>
      </xdr:nvSpPr>
      <xdr:spPr>
        <a:xfrm>
          <a:off x="1752601" y="457200"/>
          <a:ext cx="609742" cy="257175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rgbClr val="0070C0"/>
              </a:solidFill>
            </a:rPr>
            <a:t>Estoque</a:t>
          </a:r>
        </a:p>
      </xdr:txBody>
    </xdr:sp>
    <xdr:clientData/>
  </xdr:twoCellAnchor>
  <xdr:twoCellAnchor>
    <xdr:from>
      <xdr:col>1</xdr:col>
      <xdr:colOff>9524</xdr:colOff>
      <xdr:row>5</xdr:row>
      <xdr:rowOff>76200</xdr:rowOff>
    </xdr:from>
    <xdr:to>
      <xdr:col>1</xdr:col>
      <xdr:colOff>676275</xdr:colOff>
      <xdr:row>6</xdr:row>
      <xdr:rowOff>161925</xdr:rowOff>
    </xdr:to>
    <xdr:sp macro="[0]!Amarzenar" textlink="">
      <xdr:nvSpPr>
        <xdr:cNvPr id="5" name="Retângulo de cantos arredondados 4"/>
        <xdr:cNvSpPr/>
      </xdr:nvSpPr>
      <xdr:spPr>
        <a:xfrm>
          <a:off x="619124" y="1076325"/>
          <a:ext cx="666751" cy="295275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Gravar</a:t>
          </a:r>
        </a:p>
      </xdr:txBody>
    </xdr:sp>
    <xdr:clientData/>
  </xdr:twoCellAnchor>
  <xdr:twoCellAnchor>
    <xdr:from>
      <xdr:col>1</xdr:col>
      <xdr:colOff>38100</xdr:colOff>
      <xdr:row>2</xdr:row>
      <xdr:rowOff>57150</xdr:rowOff>
    </xdr:from>
    <xdr:to>
      <xdr:col>1</xdr:col>
      <xdr:colOff>535275</xdr:colOff>
      <xdr:row>3</xdr:row>
      <xdr:rowOff>114300</xdr:rowOff>
    </xdr:to>
    <xdr:sp macro="[0]!Menu" textlink="">
      <xdr:nvSpPr>
        <xdr:cNvPr id="6" name="Retângulo 5"/>
        <xdr:cNvSpPr/>
      </xdr:nvSpPr>
      <xdr:spPr>
        <a:xfrm>
          <a:off x="647700" y="457200"/>
          <a:ext cx="497175" cy="257175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rgbClr val="0070C0"/>
              </a:solidFill>
            </a:rPr>
            <a:t>Menu</a:t>
          </a:r>
        </a:p>
      </xdr:txBody>
    </xdr:sp>
    <xdr:clientData/>
  </xdr:twoCellAnchor>
  <xdr:twoCellAnchor>
    <xdr:from>
      <xdr:col>1</xdr:col>
      <xdr:colOff>1762126</xdr:colOff>
      <xdr:row>2</xdr:row>
      <xdr:rowOff>57150</xdr:rowOff>
    </xdr:from>
    <xdr:to>
      <xdr:col>1</xdr:col>
      <xdr:colOff>2381250</xdr:colOff>
      <xdr:row>3</xdr:row>
      <xdr:rowOff>114300</xdr:rowOff>
    </xdr:to>
    <xdr:sp macro="[0]!Entradas_ir" textlink="">
      <xdr:nvSpPr>
        <xdr:cNvPr id="7" name="Retângulo 6"/>
        <xdr:cNvSpPr/>
      </xdr:nvSpPr>
      <xdr:spPr>
        <a:xfrm>
          <a:off x="2371726" y="457200"/>
          <a:ext cx="619124" cy="257175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rgbClr val="0070C0"/>
              </a:solidFill>
            </a:rPr>
            <a:t>Entrada</a:t>
          </a:r>
        </a:p>
      </xdr:txBody>
    </xdr:sp>
    <xdr:clientData/>
  </xdr:twoCellAnchor>
  <xdr:twoCellAnchor>
    <xdr:from>
      <xdr:col>1</xdr:col>
      <xdr:colOff>2390774</xdr:colOff>
      <xdr:row>2</xdr:row>
      <xdr:rowOff>57150</xdr:rowOff>
    </xdr:from>
    <xdr:to>
      <xdr:col>1</xdr:col>
      <xdr:colOff>3038475</xdr:colOff>
      <xdr:row>3</xdr:row>
      <xdr:rowOff>114300</xdr:rowOff>
    </xdr:to>
    <xdr:sp macro="[0]!Consultas" textlink="">
      <xdr:nvSpPr>
        <xdr:cNvPr id="8" name="Retângulo 7"/>
        <xdr:cNvSpPr/>
      </xdr:nvSpPr>
      <xdr:spPr>
        <a:xfrm>
          <a:off x="3000374" y="457200"/>
          <a:ext cx="647701" cy="257175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rgbClr val="0070C0"/>
              </a:solidFill>
            </a:rPr>
            <a:t>Consulta</a:t>
          </a:r>
        </a:p>
      </xdr:txBody>
    </xdr:sp>
    <xdr:clientData/>
  </xdr:twoCellAnchor>
  <xdr:twoCellAnchor>
    <xdr:from>
      <xdr:col>5</xdr:col>
      <xdr:colOff>285750</xdr:colOff>
      <xdr:row>2</xdr:row>
      <xdr:rowOff>180974</xdr:rowOff>
    </xdr:from>
    <xdr:to>
      <xdr:col>6</xdr:col>
      <xdr:colOff>476250</xdr:colOff>
      <xdr:row>3</xdr:row>
      <xdr:rowOff>161924</xdr:rowOff>
    </xdr:to>
    <xdr:sp macro="[0]!Limpar_pesquisa" textlink="">
      <xdr:nvSpPr>
        <xdr:cNvPr id="9" name="Retângulo de cantos arredondados 8"/>
        <xdr:cNvSpPr/>
      </xdr:nvSpPr>
      <xdr:spPr>
        <a:xfrm>
          <a:off x="6391275" y="581024"/>
          <a:ext cx="895350" cy="18097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/>
            <a:t>Limpar</a:t>
          </a:r>
          <a:r>
            <a:rPr lang="pt-BR" sz="800" baseline="0"/>
            <a:t> pesquisa</a:t>
          </a:r>
          <a:endParaRPr lang="pt-BR" sz="800"/>
        </a:p>
      </xdr:txBody>
    </xdr:sp>
    <xdr:clientData/>
  </xdr:twoCellAnchor>
  <xdr:twoCellAnchor>
    <xdr:from>
      <xdr:col>11</xdr:col>
      <xdr:colOff>57149</xdr:colOff>
      <xdr:row>7</xdr:row>
      <xdr:rowOff>66676</xdr:rowOff>
    </xdr:from>
    <xdr:to>
      <xdr:col>12</xdr:col>
      <xdr:colOff>190500</xdr:colOff>
      <xdr:row>8</xdr:row>
      <xdr:rowOff>85725</xdr:rowOff>
    </xdr:to>
    <xdr:sp macro="[0]!Linha12" textlink="">
      <xdr:nvSpPr>
        <xdr:cNvPr id="2" name="Retângulo de cantos arredondados 1"/>
        <xdr:cNvSpPr/>
      </xdr:nvSpPr>
      <xdr:spPr>
        <a:xfrm>
          <a:off x="10220324" y="1466851"/>
          <a:ext cx="742951" cy="219074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0070C0"/>
              </a:solidFill>
            </a:rPr>
            <a:t>Linha 12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438147</xdr:colOff>
      <xdr:row>0</xdr:row>
      <xdr:rowOff>104775</xdr:rowOff>
    </xdr:from>
    <xdr:to>
      <xdr:col>3</xdr:col>
      <xdr:colOff>1190625</xdr:colOff>
      <xdr:row>1</xdr:row>
      <xdr:rowOff>161925</xdr:rowOff>
    </xdr:to>
    <xdr:sp macro="[0]!Consultas" textlink="">
      <xdr:nvSpPr>
        <xdr:cNvPr id="7" name="Retângulo 6"/>
        <xdr:cNvSpPr/>
      </xdr:nvSpPr>
      <xdr:spPr>
        <a:xfrm>
          <a:off x="4133847" y="104775"/>
          <a:ext cx="752478" cy="247650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rgbClr val="0070C0"/>
              </a:solidFill>
            </a:rPr>
            <a:t>Consultas</a:t>
          </a:r>
        </a:p>
      </xdr:txBody>
    </xdr:sp>
    <xdr:clientData/>
  </xdr:twoCellAnchor>
  <xdr:twoCellAnchor>
    <xdr:from>
      <xdr:col>1</xdr:col>
      <xdr:colOff>419100</xdr:colOff>
      <xdr:row>0</xdr:row>
      <xdr:rowOff>104775</xdr:rowOff>
    </xdr:from>
    <xdr:to>
      <xdr:col>1</xdr:col>
      <xdr:colOff>1000123</xdr:colOff>
      <xdr:row>1</xdr:row>
      <xdr:rowOff>161925</xdr:rowOff>
    </xdr:to>
    <xdr:sp macro="[0]!Menu" textlink="">
      <xdr:nvSpPr>
        <xdr:cNvPr id="13" name="Retângulo 12"/>
        <xdr:cNvSpPr/>
      </xdr:nvSpPr>
      <xdr:spPr>
        <a:xfrm>
          <a:off x="1047750" y="104775"/>
          <a:ext cx="581023" cy="247650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rgbClr val="0070C0"/>
              </a:solidFill>
            </a:rPr>
            <a:t>Menu</a:t>
          </a:r>
        </a:p>
      </xdr:txBody>
    </xdr:sp>
    <xdr:clientData/>
  </xdr:twoCellAnchor>
  <xdr:twoCellAnchor>
    <xdr:from>
      <xdr:col>1</xdr:col>
      <xdr:colOff>1009650</xdr:colOff>
      <xdr:row>0</xdr:row>
      <xdr:rowOff>104775</xdr:rowOff>
    </xdr:from>
    <xdr:to>
      <xdr:col>1</xdr:col>
      <xdr:colOff>1647823</xdr:colOff>
      <xdr:row>1</xdr:row>
      <xdr:rowOff>161925</xdr:rowOff>
    </xdr:to>
    <xdr:sp macro="[0]!Estoque_ir" textlink="">
      <xdr:nvSpPr>
        <xdr:cNvPr id="14" name="Retângulo 13"/>
        <xdr:cNvSpPr/>
      </xdr:nvSpPr>
      <xdr:spPr>
        <a:xfrm>
          <a:off x="1638300" y="104775"/>
          <a:ext cx="638173" cy="247650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rgbClr val="0070C0"/>
              </a:solidFill>
            </a:rPr>
            <a:t>Estoque</a:t>
          </a:r>
        </a:p>
      </xdr:txBody>
    </xdr:sp>
    <xdr:clientData/>
  </xdr:twoCellAnchor>
  <xdr:twoCellAnchor>
    <xdr:from>
      <xdr:col>1</xdr:col>
      <xdr:colOff>1657349</xdr:colOff>
      <xdr:row>0</xdr:row>
      <xdr:rowOff>104775</xdr:rowOff>
    </xdr:from>
    <xdr:to>
      <xdr:col>2</xdr:col>
      <xdr:colOff>114297</xdr:colOff>
      <xdr:row>1</xdr:row>
      <xdr:rowOff>161925</xdr:rowOff>
    </xdr:to>
    <xdr:sp macro="[0]!Entradas_ir" textlink="">
      <xdr:nvSpPr>
        <xdr:cNvPr id="15" name="Retângulo 14"/>
        <xdr:cNvSpPr/>
      </xdr:nvSpPr>
      <xdr:spPr>
        <a:xfrm>
          <a:off x="2285999" y="104775"/>
          <a:ext cx="657223" cy="247650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rgbClr val="0070C0"/>
              </a:solidFill>
            </a:rPr>
            <a:t>Entradas</a:t>
          </a:r>
        </a:p>
      </xdr:txBody>
    </xdr:sp>
    <xdr:clientData/>
  </xdr:twoCellAnchor>
  <xdr:twoCellAnchor>
    <xdr:from>
      <xdr:col>2</xdr:col>
      <xdr:colOff>714375</xdr:colOff>
      <xdr:row>0</xdr:row>
      <xdr:rowOff>104775</xdr:rowOff>
    </xdr:from>
    <xdr:to>
      <xdr:col>3</xdr:col>
      <xdr:colOff>428623</xdr:colOff>
      <xdr:row>1</xdr:row>
      <xdr:rowOff>161925</xdr:rowOff>
    </xdr:to>
    <xdr:sp macro="[0]!Clientes_ir" textlink="">
      <xdr:nvSpPr>
        <xdr:cNvPr id="16" name="Retângulo 15"/>
        <xdr:cNvSpPr/>
      </xdr:nvSpPr>
      <xdr:spPr>
        <a:xfrm>
          <a:off x="3543300" y="104775"/>
          <a:ext cx="581023" cy="247650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rgbClr val="0070C0"/>
              </a:solidFill>
            </a:rPr>
            <a:t>Cliente</a:t>
          </a:r>
        </a:p>
      </xdr:txBody>
    </xdr:sp>
    <xdr:clientData/>
  </xdr:twoCellAnchor>
  <xdr:twoCellAnchor>
    <xdr:from>
      <xdr:col>2</xdr:col>
      <xdr:colOff>123825</xdr:colOff>
      <xdr:row>0</xdr:row>
      <xdr:rowOff>104775</xdr:rowOff>
    </xdr:from>
    <xdr:to>
      <xdr:col>2</xdr:col>
      <xdr:colOff>704848</xdr:colOff>
      <xdr:row>1</xdr:row>
      <xdr:rowOff>161925</xdr:rowOff>
    </xdr:to>
    <xdr:sp macro="[0]!Saídas_ir" textlink="">
      <xdr:nvSpPr>
        <xdr:cNvPr id="17" name="Retângulo 16"/>
        <xdr:cNvSpPr/>
      </xdr:nvSpPr>
      <xdr:spPr>
        <a:xfrm>
          <a:off x="2952750" y="104775"/>
          <a:ext cx="581023" cy="247650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rgbClr val="0070C0"/>
              </a:solidFill>
            </a:rPr>
            <a:t>Caixa</a:t>
          </a:r>
        </a:p>
      </xdr:txBody>
    </xdr:sp>
    <xdr:clientData/>
  </xdr:twoCellAnchor>
  <xdr:twoCellAnchor editAs="oneCell">
    <xdr:from>
      <xdr:col>4</xdr:col>
      <xdr:colOff>581025</xdr:colOff>
      <xdr:row>0</xdr:row>
      <xdr:rowOff>30866</xdr:rowOff>
    </xdr:from>
    <xdr:to>
      <xdr:col>4</xdr:col>
      <xdr:colOff>895350</xdr:colOff>
      <xdr:row>2</xdr:row>
      <xdr:rowOff>12241</xdr:rowOff>
    </xdr:to>
    <xdr:pic macro="[0]!Clientes_ir"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9945" b="100000" l="9873" r="89809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30866"/>
          <a:ext cx="314325" cy="3623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371475</xdr:colOff>
      <xdr:row>2</xdr:row>
      <xdr:rowOff>76200</xdr:rowOff>
    </xdr:from>
    <xdr:to>
      <xdr:col>1</xdr:col>
      <xdr:colOff>952498</xdr:colOff>
      <xdr:row>3</xdr:row>
      <xdr:rowOff>133350</xdr:rowOff>
    </xdr:to>
    <xdr:sp macro="[0]!Menu" textlink="">
      <xdr:nvSpPr>
        <xdr:cNvPr id="2" name="Retângulo 1"/>
        <xdr:cNvSpPr/>
      </xdr:nvSpPr>
      <xdr:spPr>
        <a:xfrm>
          <a:off x="981075" y="466725"/>
          <a:ext cx="581023" cy="247650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rgbClr val="0070C0"/>
              </a:solidFill>
            </a:rPr>
            <a:t>Menu</a:t>
          </a:r>
        </a:p>
      </xdr:txBody>
    </xdr:sp>
    <xdr:clientData/>
  </xdr:twoCellAnchor>
  <xdr:twoCellAnchor>
    <xdr:from>
      <xdr:col>1</xdr:col>
      <xdr:colOff>952500</xdr:colOff>
      <xdr:row>2</xdr:row>
      <xdr:rowOff>76200</xdr:rowOff>
    </xdr:from>
    <xdr:to>
      <xdr:col>2</xdr:col>
      <xdr:colOff>419098</xdr:colOff>
      <xdr:row>3</xdr:row>
      <xdr:rowOff>133350</xdr:rowOff>
    </xdr:to>
    <xdr:sp macro="[0]!Estoque_ir" textlink="">
      <xdr:nvSpPr>
        <xdr:cNvPr id="3" name="Retângulo 2"/>
        <xdr:cNvSpPr/>
      </xdr:nvSpPr>
      <xdr:spPr>
        <a:xfrm>
          <a:off x="1562100" y="466725"/>
          <a:ext cx="638173" cy="247650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rgbClr val="0070C0"/>
              </a:solidFill>
            </a:rPr>
            <a:t>Estoque</a:t>
          </a:r>
        </a:p>
      </xdr:txBody>
    </xdr:sp>
    <xdr:clientData/>
  </xdr:twoCellAnchor>
  <xdr:twoCellAnchor>
    <xdr:from>
      <xdr:col>2</xdr:col>
      <xdr:colOff>419099</xdr:colOff>
      <xdr:row>2</xdr:row>
      <xdr:rowOff>76200</xdr:rowOff>
    </xdr:from>
    <xdr:to>
      <xdr:col>3</xdr:col>
      <xdr:colOff>466722</xdr:colOff>
      <xdr:row>3</xdr:row>
      <xdr:rowOff>133350</xdr:rowOff>
    </xdr:to>
    <xdr:sp macro="[0]!Entradas_ir" textlink="">
      <xdr:nvSpPr>
        <xdr:cNvPr id="4" name="Retângulo 3"/>
        <xdr:cNvSpPr/>
      </xdr:nvSpPr>
      <xdr:spPr>
        <a:xfrm>
          <a:off x="2200274" y="466725"/>
          <a:ext cx="657223" cy="247650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rgbClr val="0070C0"/>
              </a:solidFill>
            </a:rPr>
            <a:t>Entradas</a:t>
          </a:r>
        </a:p>
      </xdr:txBody>
    </xdr:sp>
    <xdr:clientData/>
  </xdr:twoCellAnchor>
  <xdr:twoCellAnchor>
    <xdr:from>
      <xdr:col>4</xdr:col>
      <xdr:colOff>38100</xdr:colOff>
      <xdr:row>2</xdr:row>
      <xdr:rowOff>76200</xdr:rowOff>
    </xdr:from>
    <xdr:to>
      <xdr:col>5</xdr:col>
      <xdr:colOff>9523</xdr:colOff>
      <xdr:row>3</xdr:row>
      <xdr:rowOff>133350</xdr:rowOff>
    </xdr:to>
    <xdr:sp macro="[0]!Clientes_ir" textlink="">
      <xdr:nvSpPr>
        <xdr:cNvPr id="5" name="Retângulo 4"/>
        <xdr:cNvSpPr/>
      </xdr:nvSpPr>
      <xdr:spPr>
        <a:xfrm>
          <a:off x="3438525" y="466725"/>
          <a:ext cx="581023" cy="247650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rgbClr val="0070C0"/>
              </a:solidFill>
            </a:rPr>
            <a:t>Cliente</a:t>
          </a:r>
        </a:p>
      </xdr:txBody>
    </xdr:sp>
    <xdr:clientData/>
  </xdr:twoCellAnchor>
  <xdr:twoCellAnchor>
    <xdr:from>
      <xdr:col>5</xdr:col>
      <xdr:colOff>9522</xdr:colOff>
      <xdr:row>2</xdr:row>
      <xdr:rowOff>76200</xdr:rowOff>
    </xdr:from>
    <xdr:to>
      <xdr:col>6</xdr:col>
      <xdr:colOff>133350</xdr:colOff>
      <xdr:row>3</xdr:row>
      <xdr:rowOff>133350</xdr:rowOff>
    </xdr:to>
    <xdr:sp macro="[0]!Configuração" textlink="">
      <xdr:nvSpPr>
        <xdr:cNvPr id="6" name="Retângulo 5"/>
        <xdr:cNvSpPr/>
      </xdr:nvSpPr>
      <xdr:spPr>
        <a:xfrm>
          <a:off x="4019547" y="466725"/>
          <a:ext cx="733428" cy="247650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rgbClr val="0070C0"/>
              </a:solidFill>
            </a:rPr>
            <a:t>Consultas</a:t>
          </a:r>
        </a:p>
      </xdr:txBody>
    </xdr:sp>
    <xdr:clientData/>
  </xdr:twoCellAnchor>
  <xdr:twoCellAnchor>
    <xdr:from>
      <xdr:col>3</xdr:col>
      <xdr:colOff>466725</xdr:colOff>
      <xdr:row>2</xdr:row>
      <xdr:rowOff>76200</xdr:rowOff>
    </xdr:from>
    <xdr:to>
      <xdr:col>4</xdr:col>
      <xdr:colOff>38098</xdr:colOff>
      <xdr:row>3</xdr:row>
      <xdr:rowOff>133350</xdr:rowOff>
    </xdr:to>
    <xdr:sp macro="[0]!Saídas_ir" textlink="">
      <xdr:nvSpPr>
        <xdr:cNvPr id="7" name="Retângulo 6"/>
        <xdr:cNvSpPr/>
      </xdr:nvSpPr>
      <xdr:spPr>
        <a:xfrm>
          <a:off x="2857500" y="466725"/>
          <a:ext cx="581023" cy="247650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rgbClr val="0070C0"/>
              </a:solidFill>
            </a:rPr>
            <a:t>Caixa</a:t>
          </a:r>
        </a:p>
      </xdr:txBody>
    </xdr:sp>
    <xdr:clientData/>
  </xdr:twoCellAnchor>
  <xdr:twoCellAnchor>
    <xdr:from>
      <xdr:col>4</xdr:col>
      <xdr:colOff>9525</xdr:colOff>
      <xdr:row>7</xdr:row>
      <xdr:rowOff>0</xdr:rowOff>
    </xdr:from>
    <xdr:to>
      <xdr:col>4</xdr:col>
      <xdr:colOff>590551</xdr:colOff>
      <xdr:row>7</xdr:row>
      <xdr:rowOff>285750</xdr:rowOff>
    </xdr:to>
    <xdr:sp macro="[0]!Módulo2.Medidas" textlink="">
      <xdr:nvSpPr>
        <xdr:cNvPr id="8" name="Retângulo de cantos arredondados 7"/>
        <xdr:cNvSpPr/>
      </xdr:nvSpPr>
      <xdr:spPr>
        <a:xfrm>
          <a:off x="3409950" y="1181100"/>
          <a:ext cx="581026" cy="285750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Novo</a:t>
          </a:r>
        </a:p>
      </xdr:txBody>
    </xdr:sp>
    <xdr:clientData/>
  </xdr:twoCellAnchor>
  <xdr:twoCellAnchor>
    <xdr:from>
      <xdr:col>2</xdr:col>
      <xdr:colOff>19050</xdr:colOff>
      <xdr:row>7</xdr:row>
      <xdr:rowOff>0</xdr:rowOff>
    </xdr:from>
    <xdr:to>
      <xdr:col>2</xdr:col>
      <xdr:colOff>561975</xdr:colOff>
      <xdr:row>7</xdr:row>
      <xdr:rowOff>285750</xdr:rowOff>
    </xdr:to>
    <xdr:sp macro="[0]!Módulo2.Tipo" textlink="">
      <xdr:nvSpPr>
        <xdr:cNvPr id="9" name="Retângulo de cantos arredondados 8"/>
        <xdr:cNvSpPr/>
      </xdr:nvSpPr>
      <xdr:spPr>
        <a:xfrm>
          <a:off x="1800225" y="1181100"/>
          <a:ext cx="542925" cy="285750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Novo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476249</xdr:colOff>
      <xdr:row>0</xdr:row>
      <xdr:rowOff>152400</xdr:rowOff>
    </xdr:from>
    <xdr:ext cx="9229726" cy="6962775"/>
    <xdr:sp macro="[0]!Informação" textlink="">
      <xdr:nvSpPr>
        <xdr:cNvPr id="2" name="CaixaDeTexto 1"/>
        <xdr:cNvSpPr txBox="1"/>
      </xdr:nvSpPr>
      <xdr:spPr>
        <a:xfrm>
          <a:off x="1085849" y="152400"/>
          <a:ext cx="9229726" cy="69627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pt-BR" sz="2000" b="1" u="sng">
              <a:solidFill>
                <a:srgbClr val="0070C0"/>
              </a:solidFill>
            </a:rPr>
            <a:t>Planilha</a:t>
          </a:r>
          <a:r>
            <a:rPr lang="pt-BR" sz="2000" b="1" u="sng" baseline="0">
              <a:solidFill>
                <a:srgbClr val="0070C0"/>
              </a:solidFill>
            </a:rPr>
            <a:t> desenvolvida em Macros Excel</a:t>
          </a:r>
        </a:p>
        <a:p>
          <a:r>
            <a:rPr lang="pt-BR" sz="2000" baseline="0"/>
            <a:t>Essas informações são importantes para que a panilha funcionem com precisão.  </a:t>
          </a:r>
        </a:p>
        <a:p>
          <a:r>
            <a:rPr lang="pt-BR" sz="2000" baseline="0"/>
            <a:t>Observações:  Campo de </a:t>
          </a:r>
          <a:r>
            <a:rPr lang="pt-BR" sz="2000" b="1" baseline="0"/>
            <a:t>CONSULTAS</a:t>
          </a:r>
          <a:r>
            <a:rPr lang="pt-BR" sz="2000" baseline="0"/>
            <a:t>;  ao pesquisar um determinado produto use apenas códigos e para limpar o mesmo, aperte o botão ao lado "</a:t>
          </a:r>
          <a:r>
            <a:rPr lang="pt-BR" sz="2000" b="1" baseline="0"/>
            <a:t>Limpar Pesquisa</a:t>
          </a:r>
          <a:r>
            <a:rPr lang="pt-BR" sz="2000" baseline="0"/>
            <a:t>'' </a:t>
          </a:r>
        </a:p>
        <a:p>
          <a:r>
            <a:rPr lang="pt-BR" sz="2000" b="1" baseline="0"/>
            <a:t>ESTOQUE;</a:t>
          </a:r>
          <a:r>
            <a:rPr lang="pt-BR" sz="2000" baseline="0"/>
            <a:t>  Para cadastrar mais produtos aperte o botão </a:t>
          </a:r>
          <a:r>
            <a:rPr lang="pt-BR" sz="2000" b="1" baseline="0"/>
            <a:t>NOVO</a:t>
          </a:r>
          <a:r>
            <a:rPr lang="pt-BR" sz="2000" baseline="0"/>
            <a:t>, cadastre apenas o código, descrição, tipo, medição e valor &gt;&gt;&gt; No campo "</a:t>
          </a:r>
          <a:r>
            <a:rPr lang="pt-BR" sz="2000" b="1" baseline="0"/>
            <a:t>ENTRADAS</a:t>
          </a:r>
          <a:r>
            <a:rPr lang="pt-BR" sz="2000" baseline="0"/>
            <a:t>, </a:t>
          </a:r>
          <a:r>
            <a:rPr lang="pt-BR" sz="2000" b="1" baseline="0"/>
            <a:t>SAÍDAS E SALDO </a:t>
          </a:r>
          <a:r>
            <a:rPr lang="pt-BR" sz="2000" baseline="0"/>
            <a:t>não cadastre nada, pois existe um outro campo para o preenchimento do mesmo.  </a:t>
          </a:r>
          <a:r>
            <a:rPr lang="pt-BR" sz="2000" b="1" baseline="0"/>
            <a:t>ENTRADAS;</a:t>
          </a:r>
          <a:r>
            <a:rPr lang="pt-BR" sz="2000" baseline="0"/>
            <a:t> Digite apenas o código, reconheçará o produto o tipo e medição; em seguida digite a quantidade de entradas para aquele produto. </a:t>
          </a:r>
          <a:r>
            <a:rPr lang="pt-BR" sz="2000" b="1" baseline="0"/>
            <a:t>VENDAS</a:t>
          </a:r>
          <a:r>
            <a:rPr lang="pt-BR" sz="2000" baseline="0"/>
            <a:t>;  poderá ter um controle de todos os débitos a vista e a prazo, pois os dados ficarão gravados no mesmo. Digite apenas o </a:t>
          </a:r>
          <a:r>
            <a:rPr lang="pt-BR" sz="2000" i="1" baseline="0"/>
            <a:t>código</a:t>
          </a:r>
          <a:r>
            <a:rPr lang="pt-BR" sz="2000" baseline="0"/>
            <a:t>, automaticamente reconhecerá o produto, a medição e o valor unitário, em seguida digite a quantidade de saída, ao passo que fazer esse processo, automaticamente dará baixa no estoque. Siga o preenchimento com o código do cliente, data da compra e vencimento. Poderá armazenar até 10 intens, não ultrapasse esse limite; Assim que terminar a venda clique em </a:t>
          </a:r>
          <a:r>
            <a:rPr lang="pt-BR" sz="2000" b="1" baseline="0"/>
            <a:t>NOVO</a:t>
          </a:r>
          <a:r>
            <a:rPr lang="pt-BR" sz="2000" baseline="0"/>
            <a:t>, automaticamente salvará os dados e retornará o espaço livre com 10 linhas para uma nova venda. </a:t>
          </a:r>
          <a:r>
            <a:rPr lang="pt-BR" sz="2000" b="1" baseline="0"/>
            <a:t>CLIENTES</a:t>
          </a:r>
          <a:r>
            <a:rPr lang="pt-BR" sz="2000" baseline="0"/>
            <a:t>; Use o mesmo critério, clique em NOVO e comece o cadastro. </a:t>
          </a:r>
          <a:r>
            <a:rPr lang="pt-BR" sz="2000" b="1" baseline="0"/>
            <a:t>CONFIGURAÇÃO</a:t>
          </a:r>
          <a:r>
            <a:rPr lang="pt-BR" sz="2000" baseline="0"/>
            <a:t>; Acrescente dados como referência do produto ou faça edição do mesmo.   </a:t>
          </a:r>
          <a:r>
            <a:rPr lang="pt-BR" sz="2000" b="0" i="1" baseline="0">
              <a:solidFill>
                <a:srgbClr val="0070C0"/>
              </a:solidFill>
            </a:rPr>
            <a:t>Todas essas informações são importantes para o bom funcionamento da Planilha Vendas e Controle.</a:t>
          </a:r>
          <a:endParaRPr lang="pt-BR" sz="2000" b="0" i="1">
            <a:solidFill>
              <a:srgbClr val="0070C0"/>
            </a:solidFill>
          </a:endParaRPr>
        </a:p>
      </xdr:txBody>
    </xdr:sp>
    <xdr:clientData/>
  </xdr:oneCellAnchor>
  <xdr:twoCellAnchor>
    <xdr:from>
      <xdr:col>1</xdr:col>
      <xdr:colOff>600074</xdr:colOff>
      <xdr:row>34</xdr:row>
      <xdr:rowOff>76200</xdr:rowOff>
    </xdr:from>
    <xdr:to>
      <xdr:col>2</xdr:col>
      <xdr:colOff>571497</xdr:colOff>
      <xdr:row>35</xdr:row>
      <xdr:rowOff>133350</xdr:rowOff>
    </xdr:to>
    <xdr:sp macro="[0]!Menu" textlink="">
      <xdr:nvSpPr>
        <xdr:cNvPr id="3" name="Retângulo 2"/>
        <xdr:cNvSpPr/>
      </xdr:nvSpPr>
      <xdr:spPr>
        <a:xfrm>
          <a:off x="1209674" y="6553200"/>
          <a:ext cx="581023" cy="247650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rgbClr val="0070C0"/>
              </a:solidFill>
            </a:rPr>
            <a:t>Menu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11</xdr:row>
      <xdr:rowOff>38100</xdr:rowOff>
    </xdr:from>
    <xdr:to>
      <xdr:col>2</xdr:col>
      <xdr:colOff>609598</xdr:colOff>
      <xdr:row>12</xdr:row>
      <xdr:rowOff>95250</xdr:rowOff>
    </xdr:to>
    <xdr:sp macro="[0]!Menu" textlink="">
      <xdr:nvSpPr>
        <xdr:cNvPr id="2" name="Retângulo 1"/>
        <xdr:cNvSpPr/>
      </xdr:nvSpPr>
      <xdr:spPr>
        <a:xfrm>
          <a:off x="1247775" y="2771775"/>
          <a:ext cx="581023" cy="247650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rgbClr val="0070C0"/>
              </a:solidFill>
            </a:rPr>
            <a:t>Menu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sers/Gledson/Dropbox/Controle/Controle%20%20Financeiro%20Pessoa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nçamentos"/>
      <sheetName val="Orçamento"/>
      <sheetName val="Gráficos"/>
      <sheetName val="Cheques"/>
      <sheetName val="Contas"/>
      <sheetName val="Sonhos"/>
      <sheetName val="Depreciação"/>
      <sheetName val="Rel"/>
      <sheetName val="Ajuda"/>
      <sheetName val="Versão"/>
      <sheetName val="Imprimir"/>
    </sheetNames>
    <sheetDataSet>
      <sheetData sheetId="0" refreshError="1"/>
      <sheetData sheetId="1" refreshError="1"/>
      <sheetData sheetId="2" refreshError="1"/>
      <sheetData sheetId="3">
        <row r="76">
          <cell r="A76">
            <v>1</v>
          </cell>
          <cell r="B76" t="str">
            <v>BANCO DO BRASIL</v>
          </cell>
        </row>
        <row r="77">
          <cell r="A77">
            <v>3</v>
          </cell>
          <cell r="B77" t="str">
            <v>BANCO DA AMAZONIA</v>
          </cell>
        </row>
        <row r="78">
          <cell r="A78">
            <v>4</v>
          </cell>
          <cell r="B78" t="str">
            <v>BANCO DO NORDESTE</v>
          </cell>
        </row>
        <row r="79">
          <cell r="A79">
            <v>21</v>
          </cell>
          <cell r="B79" t="str">
            <v>BANESTES</v>
          </cell>
        </row>
        <row r="80">
          <cell r="A80">
            <v>27</v>
          </cell>
          <cell r="B80" t="str">
            <v>BESC</v>
          </cell>
        </row>
        <row r="81">
          <cell r="A81">
            <v>33</v>
          </cell>
          <cell r="B81" t="str">
            <v>BANESPA</v>
          </cell>
        </row>
        <row r="82">
          <cell r="A82">
            <v>37</v>
          </cell>
          <cell r="B82" t="str">
            <v>BANPARA</v>
          </cell>
        </row>
        <row r="83">
          <cell r="A83">
            <v>39</v>
          </cell>
          <cell r="B83" t="str">
            <v>BEP</v>
          </cell>
        </row>
        <row r="84">
          <cell r="A84">
            <v>41</v>
          </cell>
          <cell r="B84" t="str">
            <v>BANRISUL</v>
          </cell>
        </row>
        <row r="85">
          <cell r="A85">
            <v>47</v>
          </cell>
          <cell r="B85" t="str">
            <v>BANESE</v>
          </cell>
        </row>
        <row r="86">
          <cell r="A86">
            <v>70</v>
          </cell>
          <cell r="B86" t="str">
            <v>BANCO DE BRASILIA</v>
          </cell>
        </row>
        <row r="87">
          <cell r="A87">
            <v>104</v>
          </cell>
          <cell r="B87" t="str">
            <v>CAIXA</v>
          </cell>
        </row>
        <row r="88">
          <cell r="A88">
            <v>151</v>
          </cell>
          <cell r="B88" t="str">
            <v>NOSSA CAIXA</v>
          </cell>
        </row>
        <row r="89">
          <cell r="A89">
            <v>237</v>
          </cell>
          <cell r="B89" t="str">
            <v>BRADESCO</v>
          </cell>
        </row>
        <row r="90">
          <cell r="A90">
            <v>341</v>
          </cell>
          <cell r="B90" t="str">
            <v>ITAU</v>
          </cell>
        </row>
        <row r="91">
          <cell r="A91">
            <v>347</v>
          </cell>
          <cell r="B91" t="str">
            <v>SUDAMERIS</v>
          </cell>
        </row>
        <row r="92">
          <cell r="A92">
            <v>353</v>
          </cell>
          <cell r="B92" t="str">
            <v>SANTANDER BANESPA</v>
          </cell>
        </row>
        <row r="93">
          <cell r="A93">
            <v>356</v>
          </cell>
          <cell r="B93" t="str">
            <v>BANCO REAL</v>
          </cell>
        </row>
        <row r="94">
          <cell r="A94">
            <v>389</v>
          </cell>
          <cell r="B94" t="str">
            <v>MERCANTIL DO BRASIL</v>
          </cell>
        </row>
        <row r="95">
          <cell r="A95">
            <v>399</v>
          </cell>
          <cell r="B95" t="str">
            <v>HSBC</v>
          </cell>
        </row>
        <row r="96">
          <cell r="A96">
            <v>409</v>
          </cell>
          <cell r="B96" t="str">
            <v>UNIBANCO</v>
          </cell>
        </row>
        <row r="97">
          <cell r="A97">
            <v>745</v>
          </cell>
          <cell r="B97" t="str">
            <v>CITIBANK</v>
          </cell>
        </row>
        <row r="98">
          <cell r="A98">
            <v>748</v>
          </cell>
          <cell r="B98" t="str">
            <v>SICRED</v>
          </cell>
        </row>
        <row r="99">
          <cell r="A99">
            <v>756</v>
          </cell>
          <cell r="B99" t="str">
            <v>SICCOB CREDIVAG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 refreshError="1"/>
    </sheetDataSet>
  </externalBook>
</externalLink>
</file>

<file path=xl/tables/table1.xml><?xml version="1.0" encoding="utf-8"?>
<table xmlns="http://schemas.openxmlformats.org/spreadsheetml/2006/main" id="1" name="Estoque" displayName="Estoque" ref="A4:H5" totalsRowShown="0" headerRowDxfId="37" dataDxfId="36">
  <autoFilter ref="A4:H5"/>
  <tableColumns count="8">
    <tableColumn id="1" name="SKU" dataDxfId="35"/>
    <tableColumn id="2" name="Descrição" dataDxfId="34"/>
    <tableColumn id="12" name="Tipo" dataDxfId="33"/>
    <tableColumn id="11" name="Medição" dataDxfId="32"/>
    <tableColumn id="14" name="Valor Unit." dataDxfId="31"/>
    <tableColumn id="3" name="Entradas" dataDxfId="30">
      <calculatedColumnFormula>SUMIF(Entradas[SKU],Estoque[[#This Row],[SKU]],Entradas[Quantidade])</calculatedColumnFormula>
    </tableColumn>
    <tableColumn id="4" name="Saídas" dataDxfId="29">
      <calculatedColumnFormula>SUMIF(Saidas[SKU],Estoque[[#This Row],[SKU]],Saidas[Quant.])</calculatedColumnFormula>
    </tableColumn>
    <tableColumn id="8" name="Saldo" dataDxfId="28">
      <calculatedColumnFormula>Estoque[[#This Row],[Entradas]]-Estoque[[#This Row],[Saídas]]</calculatedColumnFormula>
    </tableColumn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2" name="Entradas" displayName="Entradas" ref="A4:G6" totalsRowShown="0" headerRowDxfId="27" dataDxfId="26">
  <autoFilter ref="A4:G6"/>
  <tableColumns count="7">
    <tableColumn id="1" name="SKU" dataDxfId="25"/>
    <tableColumn id="2" name="Descrição" dataDxfId="24">
      <calculatedColumnFormula>IF(Entradas[SKU]="","",VLOOKUP(Entradas[[#This Row],[SKU]],Estoque[[SKU]:[Descrição]],2,FALSE))</calculatedColumnFormula>
    </tableColumn>
    <tableColumn id="11" name="Tipo" dataDxfId="23">
      <calculatedColumnFormula>IF(Entradas[SKU]="","",VLOOKUP(Entradas[[#This Row],[SKU]],Estoque[[SKU]:[Medição]],3,FALSE))</calculatedColumnFormula>
    </tableColumn>
    <tableColumn id="4" name="Medição" dataDxfId="22">
      <calculatedColumnFormula>IF(Entradas[SKU]="","",VLOOKUP(Entradas[[#This Row],[SKU]],Estoque[[SKU]:[Medição]],4,FALSE))</calculatedColumnFormula>
    </tableColumn>
    <tableColumn id="9" name="Data" dataDxfId="21"/>
    <tableColumn id="10" name="Preço de compra" dataDxfId="20" dataCellStyle="Moeda"/>
    <tableColumn id="3" name="Quantidade" dataDxfId="19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3" name="Saidas" displayName="Saidas" ref="A10:J28" totalsRowShown="0" headerRowDxfId="18" dataDxfId="17">
  <autoFilter ref="A10:J28"/>
  <tableColumns count="10">
    <tableColumn id="1" name="SKU" dataDxfId="16"/>
    <tableColumn id="2" name="Descrição" dataDxfId="15">
      <calculatedColumnFormula>IF(Saidas[SKU]="","",VLOOKUP(Saidas[[#This Row],[SKU]],Estoque[[SKU]:[Descrição]],2,FALSE))</calculatedColumnFormula>
    </tableColumn>
    <tableColumn id="10" name="Medição" dataDxfId="14">
      <calculatedColumnFormula>IF(Saidas[SKU]="","",VLOOKUP(Saidas[[#This Row],[SKU]],Estoque[[SKU]:[Medição]],4,FALSE))</calculatedColumnFormula>
    </tableColumn>
    <tableColumn id="9" name="Valor Unit." dataDxfId="13">
      <calculatedColumnFormula>IFERROR(VLOOKUP(Saidas[SKU],Estoque[#All],5,0),0)</calculatedColumnFormula>
    </tableColumn>
    <tableColumn id="3" name="Quant." dataDxfId="12"/>
    <tableColumn id="4" name="Total" dataDxfId="11">
      <calculatedColumnFormula>Saidas[Valor Unit.]*Saidas[Quant.]</calculatedColumnFormula>
    </tableColumn>
    <tableColumn id="5" name="Cliente" dataDxfId="10"/>
    <tableColumn id="6" name="Data Inicial" dataDxfId="9"/>
    <tableColumn id="7" name="Data Venc." dataDxfId="8"/>
    <tableColumn id="8" name="Saldo Est." dataDxfId="7">
      <calculatedColumnFormula>IFERROR(VLOOKUP(Saidas[SKU],Estoque[#All],8,0),0)</calculatedColumnFormula>
    </tableColumn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6" name="Tabela6" displayName="Tabela6" ref="A4:I5" totalsRowShown="0" headerRowDxfId="6">
  <autoFilter ref="A4:I5"/>
  <tableColumns count="9">
    <tableColumn id="1" name="Código"/>
    <tableColumn id="2" name="Colunas2"/>
    <tableColumn id="3" name="Colunas3"/>
    <tableColumn id="4" name="Colunas4"/>
    <tableColumn id="5" name="Colunas5"/>
    <tableColumn id="6" name="Colunas6"/>
    <tableColumn id="7" name="Colunas7"/>
    <tableColumn id="8" name="Colunas8"/>
    <tableColumn id="9" name="Colunas9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id="4" name="table5" displayName="table5" ref="B8:B10" totalsRowShown="0" headerRowDxfId="5" dataDxfId="4" headerRowCellStyle="Normal 2">
  <autoFilter ref="B8:B10"/>
  <tableColumns count="1">
    <tableColumn id="1" name="Tipo" dataDxfId="3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5" name="med_6" displayName="med_6" ref="D8:D16" totalsRowShown="0" headerRowDxfId="2" dataDxfId="1" headerRowCellStyle="Normal 2">
  <autoFilter ref="D8:D16"/>
  <tableColumns count="1">
    <tableColumn id="1" name="Medida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6.xml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://www.planilhasvba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R14"/>
  <sheetViews>
    <sheetView showGridLines="0" showRowColHeaders="0" workbookViewId="0">
      <pane ySplit="83" topLeftCell="A106" activePane="bottomLeft" state="frozen"/>
      <selection pane="bottomLeft" activeCell="V9" sqref="V9"/>
    </sheetView>
  </sheetViews>
  <sheetFormatPr defaultRowHeight="15" x14ac:dyDescent="0.25"/>
  <cols>
    <col min="1" max="16384" width="9.140625" style="47"/>
  </cols>
  <sheetData>
    <row r="1" spans="1:18" s="129" customFormat="1" x14ac:dyDescent="0.25">
      <c r="A1" s="137" t="s">
        <v>41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8">
        <f ca="1">TODAY()</f>
        <v>42614</v>
      </c>
      <c r="O1" s="138"/>
      <c r="P1" s="138"/>
      <c r="Q1" s="138"/>
      <c r="R1" s="138"/>
    </row>
    <row r="2" spans="1:18" s="129" customFormat="1" x14ac:dyDescent="0.25">
      <c r="A2" s="137"/>
      <c r="B2" s="137"/>
      <c r="C2" s="137"/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8"/>
      <c r="O2" s="138"/>
      <c r="P2" s="138"/>
      <c r="Q2" s="138"/>
      <c r="R2" s="138"/>
    </row>
    <row r="3" spans="1:18" x14ac:dyDescent="0.2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</row>
    <row r="4" spans="1:18" x14ac:dyDescent="0.25">
      <c r="B4" s="139"/>
      <c r="C4" s="139"/>
      <c r="D4" s="139"/>
      <c r="E4" s="139"/>
      <c r="F4" s="139"/>
      <c r="G4" s="139"/>
      <c r="H4" s="139"/>
      <c r="I4" s="139"/>
      <c r="J4" s="139"/>
      <c r="K4" s="139"/>
      <c r="L4" s="139"/>
      <c r="M4" s="139"/>
      <c r="N4" s="139"/>
      <c r="O4" s="139"/>
      <c r="P4" s="139"/>
      <c r="Q4" s="139"/>
    </row>
    <row r="5" spans="1:18" x14ac:dyDescent="0.25">
      <c r="B5" s="139"/>
      <c r="C5" s="139"/>
      <c r="D5" s="139"/>
      <c r="E5" s="139"/>
      <c r="F5" s="139"/>
      <c r="G5" s="139"/>
      <c r="H5" s="139"/>
      <c r="I5" s="139"/>
      <c r="J5" s="139"/>
      <c r="K5" s="139"/>
      <c r="L5" s="139"/>
      <c r="M5" s="139"/>
      <c r="N5" s="139"/>
      <c r="O5" s="139"/>
      <c r="P5" s="139"/>
      <c r="Q5" s="139"/>
    </row>
    <row r="6" spans="1:18" x14ac:dyDescent="0.25">
      <c r="B6" s="139"/>
      <c r="C6" s="139"/>
      <c r="D6" s="139"/>
      <c r="E6" s="139"/>
      <c r="F6" s="139"/>
      <c r="G6" s="139"/>
      <c r="H6" s="139"/>
      <c r="I6" s="139"/>
      <c r="J6" s="139"/>
      <c r="K6" s="139"/>
      <c r="L6" s="139"/>
      <c r="M6" s="139"/>
      <c r="N6" s="139"/>
      <c r="O6" s="139"/>
      <c r="P6" s="139"/>
      <c r="Q6" s="139"/>
    </row>
    <row r="7" spans="1:18" x14ac:dyDescent="0.25">
      <c r="B7" s="139"/>
      <c r="C7" s="139"/>
      <c r="D7" s="139"/>
      <c r="E7" s="139"/>
      <c r="F7" s="139"/>
      <c r="G7" s="139"/>
      <c r="H7" s="139"/>
      <c r="I7" s="139"/>
      <c r="J7" s="139"/>
      <c r="K7" s="139"/>
      <c r="L7" s="139"/>
      <c r="M7" s="139"/>
      <c r="N7" s="139"/>
      <c r="O7" s="139"/>
      <c r="P7" s="139"/>
      <c r="Q7" s="139"/>
    </row>
    <row r="8" spans="1:18" x14ac:dyDescent="0.25">
      <c r="B8" s="139"/>
      <c r="C8" s="139"/>
      <c r="D8" s="139"/>
      <c r="E8" s="139"/>
      <c r="F8" s="139"/>
      <c r="G8" s="139"/>
      <c r="H8" s="139"/>
      <c r="I8" s="139"/>
      <c r="J8" s="139"/>
      <c r="K8" s="139"/>
      <c r="L8" s="139"/>
      <c r="M8" s="139"/>
      <c r="N8" s="139"/>
      <c r="O8" s="139"/>
      <c r="P8" s="139"/>
      <c r="Q8" s="139"/>
    </row>
    <row r="11" spans="1:18" x14ac:dyDescent="0.25">
      <c r="D11" s="136"/>
      <c r="E11" s="136"/>
      <c r="F11" s="136"/>
      <c r="G11" s="136"/>
      <c r="H11" s="136"/>
      <c r="I11" s="136"/>
      <c r="J11" s="136"/>
      <c r="K11" s="136"/>
      <c r="L11" s="136"/>
      <c r="M11" s="136"/>
      <c r="N11" s="136"/>
      <c r="O11" s="136"/>
      <c r="P11" s="136"/>
    </row>
    <row r="12" spans="1:18" x14ac:dyDescent="0.25">
      <c r="D12" s="136"/>
      <c r="E12" s="136"/>
      <c r="F12" s="136"/>
      <c r="G12" s="136"/>
      <c r="H12" s="136"/>
      <c r="I12" s="136"/>
      <c r="J12" s="136"/>
      <c r="K12" s="136"/>
      <c r="L12" s="136"/>
      <c r="M12" s="136"/>
      <c r="N12" s="136"/>
      <c r="O12" s="136"/>
      <c r="P12" s="136"/>
    </row>
    <row r="13" spans="1:18" x14ac:dyDescent="0.25">
      <c r="D13" s="136"/>
      <c r="E13" s="136"/>
      <c r="F13" s="136"/>
      <c r="G13" s="136"/>
      <c r="H13" s="136"/>
      <c r="I13" s="136"/>
      <c r="J13" s="136"/>
      <c r="K13" s="136"/>
      <c r="L13" s="136"/>
      <c r="M13" s="136"/>
      <c r="N13" s="136"/>
      <c r="O13" s="136"/>
      <c r="P13" s="136"/>
    </row>
    <row r="14" spans="1:18" x14ac:dyDescent="0.25">
      <c r="D14" s="136"/>
      <c r="E14" s="136"/>
      <c r="F14" s="136"/>
      <c r="G14" s="136"/>
      <c r="H14" s="136"/>
      <c r="I14" s="136"/>
      <c r="J14" s="136"/>
      <c r="K14" s="136"/>
      <c r="L14" s="136"/>
      <c r="M14" s="136"/>
      <c r="N14" s="136"/>
      <c r="O14" s="136"/>
      <c r="P14" s="136"/>
    </row>
  </sheetData>
  <sheetProtection password="C7D9" sheet="1" objects="1" scenarios="1"/>
  <mergeCells count="7">
    <mergeCell ref="D11:P14"/>
    <mergeCell ref="A1:M2"/>
    <mergeCell ref="N1:R2"/>
    <mergeCell ref="C4:P8"/>
    <mergeCell ref="B3:Q3"/>
    <mergeCell ref="Q4:Q8"/>
    <mergeCell ref="B4:B8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2:P20"/>
  <sheetViews>
    <sheetView showGridLines="0" showRowColHeaders="0" workbookViewId="0">
      <pane ySplit="69" topLeftCell="A70" activePane="bottomLeft" state="frozen"/>
      <selection pane="bottomLeft" activeCell="C12" sqref="C12:N18"/>
    </sheetView>
  </sheetViews>
  <sheetFormatPr defaultRowHeight="15" x14ac:dyDescent="0.25"/>
  <cols>
    <col min="1" max="6" width="9.140625" style="83"/>
    <col min="7" max="7" width="10.140625" style="83" customWidth="1"/>
    <col min="8" max="16384" width="9.140625" style="83"/>
  </cols>
  <sheetData>
    <row r="2" spans="1:16" x14ac:dyDescent="0.25">
      <c r="B2" s="84"/>
      <c r="C2" s="84"/>
      <c r="D2" s="84"/>
      <c r="E2" s="84"/>
      <c r="F2" s="84"/>
      <c r="G2" s="84"/>
      <c r="H2" s="84"/>
      <c r="I2" s="84"/>
      <c r="J2" s="84"/>
      <c r="K2" s="84"/>
      <c r="L2" s="86"/>
      <c r="M2" s="86"/>
      <c r="N2" s="86"/>
      <c r="O2" s="86"/>
      <c r="P2" s="86"/>
    </row>
    <row r="3" spans="1:16" ht="18" customHeight="1" x14ac:dyDescent="0.25">
      <c r="A3" s="85"/>
      <c r="B3" s="86"/>
      <c r="C3" s="140" t="s">
        <v>28</v>
      </c>
      <c r="D3" s="140"/>
      <c r="E3" s="86"/>
      <c r="F3" s="86"/>
      <c r="G3" s="86"/>
      <c r="H3" s="87"/>
      <c r="I3" s="87"/>
      <c r="J3" s="87"/>
      <c r="K3" s="87"/>
      <c r="L3" s="153">
        <f ca="1">TODAY()</f>
        <v>42614</v>
      </c>
      <c r="M3" s="154"/>
      <c r="N3" s="154"/>
      <c r="O3" s="154"/>
      <c r="P3" s="155"/>
    </row>
    <row r="4" spans="1:16" ht="22.5" customHeight="1" x14ac:dyDescent="0.25">
      <c r="A4" s="88"/>
      <c r="B4" s="89"/>
      <c r="C4" s="162"/>
      <c r="D4" s="163"/>
      <c r="E4" s="90"/>
      <c r="F4" s="86"/>
      <c r="G4" s="86"/>
      <c r="H4" s="86"/>
      <c r="I4" s="86"/>
      <c r="J4" s="86"/>
      <c r="K4" s="86"/>
      <c r="L4" s="86"/>
      <c r="M4" s="86"/>
      <c r="N4" s="86"/>
      <c r="O4" s="86"/>
      <c r="P4" s="91"/>
    </row>
    <row r="5" spans="1:16" ht="8.25" customHeight="1" x14ac:dyDescent="0.25">
      <c r="A5" s="92"/>
      <c r="B5" s="93"/>
      <c r="C5" s="94"/>
      <c r="D5" s="94"/>
      <c r="E5" s="95"/>
      <c r="F5" s="84"/>
      <c r="G5" s="84"/>
      <c r="H5" s="84"/>
      <c r="I5" s="84"/>
      <c r="J5" s="84"/>
      <c r="K5" s="84"/>
      <c r="L5" s="84"/>
      <c r="M5" s="84"/>
      <c r="N5" s="84"/>
      <c r="O5" s="86"/>
      <c r="P5" s="91"/>
    </row>
    <row r="6" spans="1:16" ht="30.75" customHeight="1" x14ac:dyDescent="0.25">
      <c r="A6" s="85"/>
      <c r="B6" s="96"/>
      <c r="C6" s="164" t="str">
        <f>IF(C4="","",VLOOKUP(C4,Estoque[[SKU]:[Descrição]],2,FALSE))</f>
        <v/>
      </c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97"/>
      <c r="P6" s="91"/>
    </row>
    <row r="7" spans="1:16" ht="8.25" customHeight="1" x14ac:dyDescent="0.25">
      <c r="A7" s="85"/>
      <c r="B7" s="86"/>
      <c r="C7" s="98"/>
      <c r="D7" s="98"/>
      <c r="E7" s="98"/>
      <c r="F7" s="98"/>
      <c r="G7" s="98"/>
      <c r="H7" s="98"/>
      <c r="I7" s="98"/>
      <c r="J7" s="98"/>
      <c r="K7" s="98"/>
      <c r="L7" s="98"/>
      <c r="M7" s="98"/>
      <c r="N7" s="98"/>
      <c r="O7" s="86"/>
      <c r="P7" s="91"/>
    </row>
    <row r="8" spans="1:16" ht="24.75" customHeight="1" x14ac:dyDescent="0.45">
      <c r="A8" s="85"/>
      <c r="B8" s="96"/>
      <c r="C8" s="166" t="s">
        <v>2</v>
      </c>
      <c r="D8" s="166"/>
      <c r="E8" s="166" t="s">
        <v>3</v>
      </c>
      <c r="F8" s="166"/>
      <c r="G8" s="166" t="s">
        <v>4</v>
      </c>
      <c r="H8" s="166"/>
      <c r="I8" s="102"/>
      <c r="J8" s="102"/>
      <c r="K8" s="102"/>
      <c r="L8" s="102"/>
      <c r="M8" s="102"/>
      <c r="N8" s="102"/>
      <c r="O8" s="97"/>
      <c r="P8" s="91"/>
    </row>
    <row r="9" spans="1:16" ht="24" customHeight="1" x14ac:dyDescent="0.35">
      <c r="A9" s="85"/>
      <c r="B9" s="86"/>
      <c r="C9" s="156">
        <f>IFERROR(VLOOKUP(C4,Estoque!A4:H5,6,0),0)</f>
        <v>0</v>
      </c>
      <c r="D9" s="157"/>
      <c r="E9" s="158">
        <f>IFERROR(VLOOKUP(C4,Estoque!A4:H5,7,0),0)</f>
        <v>0</v>
      </c>
      <c r="F9" s="159"/>
      <c r="G9" s="160">
        <f>IFERROR(VLOOKUP(C4,Estoque!A4:H5,8,0),0)</f>
        <v>0</v>
      </c>
      <c r="H9" s="161"/>
      <c r="I9" s="150" t="s">
        <v>29</v>
      </c>
      <c r="J9" s="151"/>
      <c r="K9" s="151"/>
      <c r="L9" s="151"/>
      <c r="M9" s="151"/>
      <c r="N9" s="152"/>
      <c r="O9" s="86"/>
      <c r="P9" s="91"/>
    </row>
    <row r="10" spans="1:16" x14ac:dyDescent="0.25">
      <c r="A10" s="85"/>
      <c r="B10" s="86"/>
      <c r="C10" s="86"/>
      <c r="D10" s="86"/>
      <c r="E10" s="86"/>
      <c r="F10" s="86"/>
      <c r="G10" s="86"/>
      <c r="H10" s="86"/>
      <c r="I10" s="86"/>
      <c r="J10" s="86"/>
      <c r="K10" s="86"/>
      <c r="L10" s="86"/>
      <c r="M10" s="86"/>
      <c r="N10" s="86"/>
      <c r="O10" s="86"/>
      <c r="P10" s="91"/>
    </row>
    <row r="11" spans="1:16" x14ac:dyDescent="0.25">
      <c r="A11" s="85"/>
      <c r="B11" s="86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6"/>
      <c r="P11" s="91"/>
    </row>
    <row r="12" spans="1:16" x14ac:dyDescent="0.25">
      <c r="A12" s="85"/>
      <c r="B12" s="96"/>
      <c r="C12" s="141"/>
      <c r="D12" s="142"/>
      <c r="E12" s="142"/>
      <c r="F12" s="142"/>
      <c r="G12" s="142"/>
      <c r="H12" s="142"/>
      <c r="I12" s="142"/>
      <c r="J12" s="142"/>
      <c r="K12" s="142"/>
      <c r="L12" s="142"/>
      <c r="M12" s="142"/>
      <c r="N12" s="143"/>
      <c r="O12" s="86"/>
      <c r="P12" s="91"/>
    </row>
    <row r="13" spans="1:16" x14ac:dyDescent="0.25">
      <c r="A13" s="85"/>
      <c r="B13" s="96"/>
      <c r="C13" s="144"/>
      <c r="D13" s="145"/>
      <c r="E13" s="145"/>
      <c r="F13" s="145"/>
      <c r="G13" s="145"/>
      <c r="H13" s="145"/>
      <c r="I13" s="145"/>
      <c r="J13" s="145"/>
      <c r="K13" s="145"/>
      <c r="L13" s="145"/>
      <c r="M13" s="145"/>
      <c r="N13" s="146"/>
      <c r="O13" s="86"/>
      <c r="P13" s="91"/>
    </row>
    <row r="14" spans="1:16" x14ac:dyDescent="0.25">
      <c r="A14" s="85"/>
      <c r="B14" s="96"/>
      <c r="C14" s="144"/>
      <c r="D14" s="145"/>
      <c r="E14" s="145"/>
      <c r="F14" s="145"/>
      <c r="G14" s="145"/>
      <c r="H14" s="145"/>
      <c r="I14" s="145"/>
      <c r="J14" s="145"/>
      <c r="K14" s="145"/>
      <c r="L14" s="145"/>
      <c r="M14" s="145"/>
      <c r="N14" s="146"/>
      <c r="O14" s="86"/>
      <c r="P14" s="91"/>
    </row>
    <row r="15" spans="1:16" x14ac:dyDescent="0.25">
      <c r="A15" s="85"/>
      <c r="B15" s="96"/>
      <c r="C15" s="144"/>
      <c r="D15" s="145"/>
      <c r="E15" s="145"/>
      <c r="F15" s="145"/>
      <c r="G15" s="145"/>
      <c r="H15" s="145"/>
      <c r="I15" s="145"/>
      <c r="J15" s="145"/>
      <c r="K15" s="145"/>
      <c r="L15" s="145"/>
      <c r="M15" s="145"/>
      <c r="N15" s="146"/>
      <c r="O15" s="86"/>
      <c r="P15" s="91"/>
    </row>
    <row r="16" spans="1:16" x14ac:dyDescent="0.25">
      <c r="A16" s="85"/>
      <c r="B16" s="96"/>
      <c r="C16" s="144"/>
      <c r="D16" s="145"/>
      <c r="E16" s="145"/>
      <c r="F16" s="145"/>
      <c r="G16" s="145"/>
      <c r="H16" s="145"/>
      <c r="I16" s="145"/>
      <c r="J16" s="145"/>
      <c r="K16" s="145"/>
      <c r="L16" s="145"/>
      <c r="M16" s="145"/>
      <c r="N16" s="146"/>
      <c r="O16" s="86"/>
      <c r="P16" s="91"/>
    </row>
    <row r="17" spans="1:16" x14ac:dyDescent="0.25">
      <c r="A17" s="85"/>
      <c r="B17" s="96"/>
      <c r="C17" s="144"/>
      <c r="D17" s="145"/>
      <c r="E17" s="145"/>
      <c r="F17" s="145"/>
      <c r="G17" s="145"/>
      <c r="H17" s="145"/>
      <c r="I17" s="145"/>
      <c r="J17" s="145"/>
      <c r="K17" s="145"/>
      <c r="L17" s="145"/>
      <c r="M17" s="145"/>
      <c r="N17" s="146"/>
      <c r="O17" s="86"/>
      <c r="P17" s="91"/>
    </row>
    <row r="18" spans="1:16" x14ac:dyDescent="0.25">
      <c r="A18" s="85"/>
      <c r="B18" s="96"/>
      <c r="C18" s="147"/>
      <c r="D18" s="148"/>
      <c r="E18" s="148"/>
      <c r="F18" s="148"/>
      <c r="G18" s="148"/>
      <c r="H18" s="148"/>
      <c r="I18" s="148"/>
      <c r="J18" s="148"/>
      <c r="K18" s="148"/>
      <c r="L18" s="148"/>
      <c r="M18" s="148"/>
      <c r="N18" s="149"/>
      <c r="O18" s="86"/>
      <c r="P18" s="91"/>
    </row>
    <row r="19" spans="1:16" x14ac:dyDescent="0.25">
      <c r="A19" s="85"/>
      <c r="B19" s="86"/>
      <c r="C19" s="86"/>
      <c r="D19" s="86"/>
      <c r="E19" s="86"/>
      <c r="F19" s="86"/>
      <c r="G19" s="86"/>
      <c r="H19" s="86"/>
      <c r="I19" s="86"/>
      <c r="J19" s="86"/>
      <c r="K19" s="86"/>
      <c r="L19" s="86"/>
      <c r="M19" s="86"/>
      <c r="N19" s="86"/>
      <c r="O19" s="86"/>
      <c r="P19" s="91"/>
    </row>
    <row r="20" spans="1:16" x14ac:dyDescent="0.25">
      <c r="A20" s="85"/>
      <c r="B20" s="99"/>
      <c r="C20" s="100"/>
      <c r="D20" s="100"/>
      <c r="E20" s="100"/>
      <c r="F20" s="100"/>
      <c r="G20" s="100"/>
      <c r="H20" s="100"/>
      <c r="I20" s="100"/>
      <c r="J20" s="100"/>
      <c r="K20" s="100"/>
      <c r="L20" s="100"/>
      <c r="M20" s="100"/>
      <c r="N20" s="100"/>
      <c r="O20" s="100"/>
      <c r="P20" s="101"/>
    </row>
  </sheetData>
  <mergeCells count="12">
    <mergeCell ref="C3:D3"/>
    <mergeCell ref="C12:N18"/>
    <mergeCell ref="I9:N9"/>
    <mergeCell ref="L3:P3"/>
    <mergeCell ref="C9:D9"/>
    <mergeCell ref="E9:F9"/>
    <mergeCell ref="G9:H9"/>
    <mergeCell ref="C4:D4"/>
    <mergeCell ref="C6:N6"/>
    <mergeCell ref="C8:D8"/>
    <mergeCell ref="E8:F8"/>
    <mergeCell ref="G8:H8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I53"/>
  <sheetViews>
    <sheetView showGridLines="0" showRowColHeaders="0" workbookViewId="0">
      <pane ySplit="4" topLeftCell="A5" activePane="bottomLeft" state="frozen"/>
      <selection pane="bottomLeft" activeCell="G13" sqref="G13"/>
    </sheetView>
  </sheetViews>
  <sheetFormatPr defaultRowHeight="15" outlineLevelCol="1" x14ac:dyDescent="0.25"/>
  <cols>
    <col min="1" max="1" width="6.85546875" bestFit="1" customWidth="1"/>
    <col min="2" max="2" width="55.140625" bestFit="1" customWidth="1"/>
    <col min="3" max="3" width="13.85546875" bestFit="1" customWidth="1"/>
    <col min="4" max="4" width="12.42578125" customWidth="1"/>
    <col min="5" max="5" width="12.42578125" style="7" customWidth="1"/>
    <col min="6" max="6" width="13" style="9" customWidth="1" outlineLevel="1"/>
    <col min="7" max="7" width="12" style="12" customWidth="1" outlineLevel="1"/>
    <col min="8" max="8" width="11" customWidth="1"/>
    <col min="9" max="9" width="4.42578125" style="21" customWidth="1"/>
  </cols>
  <sheetData>
    <row r="1" spans="1:9" s="6" customFormat="1" x14ac:dyDescent="0.25">
      <c r="A1" s="47"/>
      <c r="B1" s="47"/>
      <c r="C1" s="47"/>
      <c r="D1" s="47"/>
      <c r="E1" s="63"/>
      <c r="F1" s="64"/>
      <c r="G1" s="65"/>
      <c r="H1" s="130" t="s">
        <v>38</v>
      </c>
      <c r="I1" s="47"/>
    </row>
    <row r="2" spans="1:9" x14ac:dyDescent="0.25">
      <c r="A2" s="21"/>
      <c r="B2" s="21"/>
      <c r="C2" s="21"/>
      <c r="D2" s="21"/>
      <c r="E2" s="66"/>
      <c r="F2" s="67"/>
      <c r="G2" s="68"/>
      <c r="H2" s="21"/>
    </row>
    <row r="3" spans="1:9" x14ac:dyDescent="0.25">
      <c r="A3" s="21"/>
      <c r="B3" s="21"/>
      <c r="C3" s="21"/>
      <c r="D3" s="21"/>
      <c r="E3" s="66"/>
      <c r="F3" s="67"/>
      <c r="G3" s="68"/>
      <c r="H3" s="21"/>
    </row>
    <row r="4" spans="1:9" x14ac:dyDescent="0.25">
      <c r="A4" s="15" t="s">
        <v>0</v>
      </c>
      <c r="B4" s="15" t="s">
        <v>1</v>
      </c>
      <c r="C4" s="15" t="s">
        <v>15</v>
      </c>
      <c r="D4" s="15" t="s">
        <v>12</v>
      </c>
      <c r="E4" s="16" t="s">
        <v>21</v>
      </c>
      <c r="F4" s="17" t="s">
        <v>2</v>
      </c>
      <c r="G4" s="17" t="s">
        <v>3</v>
      </c>
      <c r="H4" s="18" t="s">
        <v>4</v>
      </c>
    </row>
    <row r="5" spans="1:9" x14ac:dyDescent="0.25">
      <c r="A5" s="75">
        <v>1</v>
      </c>
      <c r="B5" s="76" t="s">
        <v>51</v>
      </c>
      <c r="C5" s="76" t="s">
        <v>16</v>
      </c>
      <c r="D5" s="76" t="s">
        <v>7</v>
      </c>
      <c r="E5" s="77">
        <v>15</v>
      </c>
      <c r="F5" s="78">
        <f>SUMIF(Entradas[SKU],Estoque[[#This Row],[SKU]],Entradas[Quantidade])</f>
        <v>30</v>
      </c>
      <c r="G5" s="79">
        <f>SUMIF(Saidas[SKU],Estoque[[#This Row],[SKU]],Saidas[Quant.])</f>
        <v>0</v>
      </c>
      <c r="H5" s="80">
        <f>Estoque[[#This Row],[Entradas]]-Estoque[[#This Row],[Saídas]]</f>
        <v>30</v>
      </c>
    </row>
    <row r="6" spans="1:9" x14ac:dyDescent="0.25">
      <c r="A6" s="2"/>
      <c r="B6" s="5"/>
      <c r="C6" s="5"/>
      <c r="D6" s="5"/>
      <c r="E6" s="8"/>
      <c r="F6" s="10"/>
      <c r="G6" s="13"/>
      <c r="H6" s="3"/>
    </row>
    <row r="7" spans="1:9" x14ac:dyDescent="0.25">
      <c r="F7" s="11"/>
      <c r="G7" s="14"/>
      <c r="H7" s="1"/>
    </row>
    <row r="8" spans="1:9" x14ac:dyDescent="0.25">
      <c r="F8" s="11"/>
      <c r="G8" s="14"/>
      <c r="H8" s="1"/>
    </row>
    <row r="9" spans="1:9" x14ac:dyDescent="0.25">
      <c r="F9" s="11"/>
      <c r="G9" s="14"/>
      <c r="H9" s="1"/>
    </row>
    <row r="10" spans="1:9" x14ac:dyDescent="0.25">
      <c r="F10" s="11"/>
      <c r="G10" s="14"/>
      <c r="H10" s="1"/>
    </row>
    <row r="11" spans="1:9" x14ac:dyDescent="0.25">
      <c r="F11" s="11"/>
      <c r="G11" s="14"/>
      <c r="H11" s="1"/>
    </row>
    <row r="12" spans="1:9" x14ac:dyDescent="0.25">
      <c r="F12" s="11"/>
      <c r="G12" s="14"/>
      <c r="H12" s="1"/>
    </row>
    <row r="13" spans="1:9" x14ac:dyDescent="0.25">
      <c r="F13" s="11"/>
      <c r="G13" s="14"/>
      <c r="H13" s="1"/>
    </row>
    <row r="14" spans="1:9" x14ac:dyDescent="0.25">
      <c r="F14" s="11"/>
      <c r="G14" s="14"/>
      <c r="H14" s="1"/>
    </row>
    <row r="15" spans="1:9" x14ac:dyDescent="0.25">
      <c r="F15" s="11"/>
      <c r="G15" s="14"/>
      <c r="H15" s="1"/>
    </row>
    <row r="16" spans="1:9" x14ac:dyDescent="0.25">
      <c r="F16" s="11"/>
      <c r="G16" s="14"/>
      <c r="H16" s="1"/>
    </row>
    <row r="17" spans="6:8" x14ac:dyDescent="0.25">
      <c r="F17" s="11"/>
      <c r="G17" s="14"/>
      <c r="H17" s="1"/>
    </row>
    <row r="18" spans="6:8" x14ac:dyDescent="0.25">
      <c r="F18" s="11"/>
      <c r="G18" s="14"/>
      <c r="H18" s="1"/>
    </row>
    <row r="19" spans="6:8" x14ac:dyDescent="0.25">
      <c r="F19" s="11"/>
      <c r="G19" s="14"/>
      <c r="H19" s="1"/>
    </row>
    <row r="20" spans="6:8" x14ac:dyDescent="0.25">
      <c r="F20" s="11"/>
      <c r="G20" s="14"/>
      <c r="H20" s="1"/>
    </row>
    <row r="21" spans="6:8" x14ac:dyDescent="0.25">
      <c r="F21" s="11"/>
      <c r="G21" s="14"/>
      <c r="H21" s="1"/>
    </row>
    <row r="22" spans="6:8" x14ac:dyDescent="0.25">
      <c r="F22" s="11"/>
      <c r="G22" s="14"/>
      <c r="H22" s="1"/>
    </row>
    <row r="23" spans="6:8" x14ac:dyDescent="0.25">
      <c r="F23" s="11"/>
      <c r="G23" s="14"/>
      <c r="H23" s="1"/>
    </row>
    <row r="24" spans="6:8" x14ac:dyDescent="0.25">
      <c r="F24" s="11"/>
      <c r="G24" s="14"/>
      <c r="H24" s="1"/>
    </row>
    <row r="25" spans="6:8" x14ac:dyDescent="0.25">
      <c r="F25" s="11"/>
      <c r="G25" s="14"/>
      <c r="H25" s="1"/>
    </row>
    <row r="26" spans="6:8" x14ac:dyDescent="0.25">
      <c r="F26" s="11"/>
      <c r="G26" s="14"/>
      <c r="H26" s="1"/>
    </row>
    <row r="27" spans="6:8" x14ac:dyDescent="0.25">
      <c r="F27" s="11"/>
      <c r="G27" s="14"/>
      <c r="H27" s="1"/>
    </row>
    <row r="28" spans="6:8" x14ac:dyDescent="0.25">
      <c r="F28" s="11"/>
      <c r="G28" s="14"/>
      <c r="H28" s="1"/>
    </row>
    <row r="29" spans="6:8" x14ac:dyDescent="0.25">
      <c r="F29" s="11"/>
      <c r="G29" s="14"/>
      <c r="H29" s="1"/>
    </row>
    <row r="30" spans="6:8" x14ac:dyDescent="0.25">
      <c r="F30" s="11"/>
      <c r="G30" s="14"/>
      <c r="H30" s="1"/>
    </row>
    <row r="31" spans="6:8" x14ac:dyDescent="0.25">
      <c r="F31" s="11"/>
      <c r="G31" s="14"/>
      <c r="H31" s="1"/>
    </row>
    <row r="32" spans="6:8" x14ac:dyDescent="0.25">
      <c r="F32" s="11"/>
      <c r="G32" s="14"/>
      <c r="H32" s="1"/>
    </row>
    <row r="33" spans="6:8" x14ac:dyDescent="0.25">
      <c r="F33" s="11"/>
      <c r="G33" s="14"/>
      <c r="H33" s="1"/>
    </row>
    <row r="34" spans="6:8" x14ac:dyDescent="0.25">
      <c r="F34" s="11"/>
      <c r="G34" s="14"/>
      <c r="H34" s="1"/>
    </row>
    <row r="35" spans="6:8" x14ac:dyDescent="0.25">
      <c r="F35" s="11"/>
      <c r="G35" s="14"/>
      <c r="H35" s="1"/>
    </row>
    <row r="36" spans="6:8" x14ac:dyDescent="0.25">
      <c r="F36" s="11"/>
      <c r="G36" s="14"/>
      <c r="H36" s="1"/>
    </row>
    <row r="37" spans="6:8" x14ac:dyDescent="0.25">
      <c r="F37" s="11"/>
      <c r="G37" s="14"/>
      <c r="H37" s="1"/>
    </row>
    <row r="38" spans="6:8" x14ac:dyDescent="0.25">
      <c r="F38" s="11"/>
      <c r="G38" s="14"/>
      <c r="H38" s="1"/>
    </row>
    <row r="39" spans="6:8" x14ac:dyDescent="0.25">
      <c r="F39" s="11"/>
      <c r="G39" s="14"/>
      <c r="H39" s="1"/>
    </row>
    <row r="40" spans="6:8" x14ac:dyDescent="0.25">
      <c r="F40" s="11"/>
      <c r="G40" s="14"/>
      <c r="H40" s="1"/>
    </row>
    <row r="41" spans="6:8" x14ac:dyDescent="0.25">
      <c r="F41" s="11"/>
      <c r="G41" s="14"/>
      <c r="H41" s="1"/>
    </row>
    <row r="42" spans="6:8" x14ac:dyDescent="0.25">
      <c r="F42" s="11"/>
      <c r="G42" s="14"/>
      <c r="H42" s="1"/>
    </row>
    <row r="43" spans="6:8" x14ac:dyDescent="0.25">
      <c r="F43" s="11"/>
      <c r="G43" s="14"/>
      <c r="H43" s="1"/>
    </row>
    <row r="44" spans="6:8" x14ac:dyDescent="0.25">
      <c r="F44" s="11"/>
      <c r="G44" s="14"/>
      <c r="H44" s="1"/>
    </row>
    <row r="45" spans="6:8" x14ac:dyDescent="0.25">
      <c r="F45" s="11"/>
      <c r="G45" s="14"/>
      <c r="H45" s="1"/>
    </row>
    <row r="46" spans="6:8" x14ac:dyDescent="0.25">
      <c r="F46" s="11"/>
      <c r="G46" s="14"/>
      <c r="H46" s="1"/>
    </row>
    <row r="47" spans="6:8" x14ac:dyDescent="0.25">
      <c r="F47" s="11"/>
      <c r="G47" s="14"/>
      <c r="H47" s="1"/>
    </row>
    <row r="48" spans="6:8" x14ac:dyDescent="0.25">
      <c r="F48" s="11"/>
      <c r="G48" s="14"/>
      <c r="H48" s="1"/>
    </row>
    <row r="49" spans="6:8" x14ac:dyDescent="0.25">
      <c r="F49" s="11"/>
      <c r="G49" s="14"/>
      <c r="H49" s="1"/>
    </row>
    <row r="50" spans="6:8" x14ac:dyDescent="0.25">
      <c r="F50" s="11"/>
      <c r="G50" s="14"/>
      <c r="H50" s="1"/>
    </row>
    <row r="51" spans="6:8" x14ac:dyDescent="0.25">
      <c r="F51" s="11"/>
      <c r="G51" s="14"/>
      <c r="H51" s="1"/>
    </row>
    <row r="52" spans="6:8" x14ac:dyDescent="0.25">
      <c r="F52" s="11"/>
      <c r="G52" s="14"/>
      <c r="H52" s="1"/>
    </row>
    <row r="53" spans="6:8" x14ac:dyDescent="0.25">
      <c r="F53" s="11"/>
      <c r="G53" s="14"/>
      <c r="H53" s="1"/>
    </row>
  </sheetData>
  <dataValidations count="2">
    <dataValidation type="list" allowBlank="1" showInputMessage="1" showErrorMessage="1" sqref="D6">
      <formula1>$D$8:$D$20</formula1>
    </dataValidation>
    <dataValidation type="list" allowBlank="1" showInputMessage="1" showErrorMessage="1" sqref="C6">
      <formula1>$C$8:$C$11</formula1>
    </dataValidation>
  </dataValidations>
  <pageMargins left="0.25" right="0.25" top="0.75" bottom="0.75" header="0.3" footer="0.3"/>
  <pageSetup paperSize="9" orientation="landscape" verticalDpi="0" r:id="rId1"/>
  <ignoredErrors>
    <ignoredError sqref="H5" calculatedColumn="1"/>
  </ignoredErrors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OFFSET(Configuração!$D$9,0,0,COUNTA(MEDIDAS),1)</xm:f>
          </x14:formula1>
          <xm:sqref>D5</xm:sqref>
        </x14:dataValidation>
        <x14:dataValidation type="list" allowBlank="1" showInputMessage="1" showErrorMessage="1">
          <x14:formula1>
            <xm:f>OFFSET(Configuração!$B$9,0,0,COUNTA(TIPO),1)</xm:f>
          </x14:formula1>
          <xm:sqref>C5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H6"/>
  <sheetViews>
    <sheetView showGridLines="0" showRowColHeaders="0" workbookViewId="0">
      <pane ySplit="4" topLeftCell="A5" activePane="bottomLeft" state="frozen"/>
      <selection pane="bottomLeft" activeCell="A6" sqref="A6"/>
    </sheetView>
  </sheetViews>
  <sheetFormatPr defaultRowHeight="15" x14ac:dyDescent="0.25"/>
  <cols>
    <col min="1" max="1" width="9.140625" style="4"/>
    <col min="2" max="2" width="57.85546875" style="4" customWidth="1"/>
    <col min="3" max="3" width="13.5703125" style="4" customWidth="1"/>
    <col min="4" max="4" width="19.5703125" style="4" customWidth="1"/>
    <col min="5" max="5" width="12.28515625" style="4" customWidth="1"/>
    <col min="6" max="6" width="18.140625" style="4" bestFit="1" customWidth="1"/>
    <col min="7" max="7" width="13.7109375" style="4" bestFit="1" customWidth="1"/>
    <col min="8" max="8" width="4.42578125" style="26" customWidth="1"/>
    <col min="9" max="16384" width="9.140625" style="4"/>
  </cols>
  <sheetData>
    <row r="1" spans="1:7" x14ac:dyDescent="0.25">
      <c r="A1" s="26"/>
      <c r="B1" s="26"/>
      <c r="C1" s="26"/>
      <c r="D1" s="26"/>
      <c r="E1" s="26"/>
      <c r="F1" s="26"/>
      <c r="G1" s="128" t="s">
        <v>37</v>
      </c>
    </row>
    <row r="2" spans="1:7" x14ac:dyDescent="0.25">
      <c r="A2" s="26"/>
      <c r="B2" s="26"/>
      <c r="C2" s="26"/>
      <c r="D2" s="26"/>
      <c r="E2" s="26"/>
      <c r="F2" s="26"/>
      <c r="G2" s="26"/>
    </row>
    <row r="3" spans="1:7" x14ac:dyDescent="0.25">
      <c r="A3" s="26"/>
      <c r="B3" s="26"/>
      <c r="C3" s="26"/>
      <c r="D3" s="26"/>
      <c r="E3" s="26"/>
      <c r="F3" s="26"/>
      <c r="G3" s="26"/>
    </row>
    <row r="4" spans="1:7" x14ac:dyDescent="0.25">
      <c r="A4" s="69" t="s">
        <v>0</v>
      </c>
      <c r="B4" s="69" t="s">
        <v>1</v>
      </c>
      <c r="C4" s="69" t="s">
        <v>15</v>
      </c>
      <c r="D4" s="69" t="s">
        <v>12</v>
      </c>
      <c r="E4" s="69" t="s">
        <v>6</v>
      </c>
      <c r="F4" s="69" t="s">
        <v>20</v>
      </c>
      <c r="G4" s="69" t="s">
        <v>5</v>
      </c>
    </row>
    <row r="5" spans="1:7" x14ac:dyDescent="0.25">
      <c r="A5" s="70">
        <v>1</v>
      </c>
      <c r="B5" s="71" t="str">
        <f>IF(Entradas[SKU]="","",VLOOKUP(Entradas[[#This Row],[SKU]],Estoque[[SKU]:[Descrição]],2,FALSE))</f>
        <v>Pen Drive</v>
      </c>
      <c r="C5" s="71" t="str">
        <f>IF(Entradas[SKU]="","",VLOOKUP(Entradas[[#This Row],[SKU]],Estoque[[SKU]:[Medição]],3,FALSE))</f>
        <v>Insumos</v>
      </c>
      <c r="D5" s="71" t="str">
        <f>IF(Entradas[SKU]="","",VLOOKUP(Entradas[[#This Row],[SKU]],Estoque[[SKU]:[Medição]],4,FALSE))</f>
        <v>Unidade</v>
      </c>
      <c r="E5" s="72"/>
      <c r="F5" s="73"/>
      <c r="G5" s="74">
        <v>30</v>
      </c>
    </row>
    <row r="6" spans="1:7" x14ac:dyDescent="0.25">
      <c r="A6" s="177"/>
      <c r="B6" s="178" t="str">
        <f>IF(Entradas[SKU]="","",VLOOKUP(Entradas[[#This Row],[SKU]],Estoque[[SKU]:[Descrição]],2,FALSE))</f>
        <v/>
      </c>
      <c r="C6" s="178" t="str">
        <f>IF(Entradas[SKU]="","",VLOOKUP(Entradas[[#This Row],[SKU]],Estoque[[SKU]:[Medição]],3,FALSE))</f>
        <v/>
      </c>
      <c r="D6" s="178" t="str">
        <f>IF(Entradas[SKU]="","",VLOOKUP(Entradas[[#This Row],[SKU]],Estoque[[SKU]:[Medição]],4,FALSE))</f>
        <v/>
      </c>
      <c r="E6" s="179"/>
      <c r="F6" s="180"/>
      <c r="G6" s="181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/>
  <dimension ref="A1:N36"/>
  <sheetViews>
    <sheetView showGridLines="0" showRowColHeaders="0" tabSelected="1" workbookViewId="0">
      <pane ySplit="10" topLeftCell="A11" activePane="bottomLeft" state="frozen"/>
      <selection pane="bottomLeft" activeCell="C27" sqref="C27"/>
    </sheetView>
  </sheetViews>
  <sheetFormatPr defaultRowHeight="15" x14ac:dyDescent="0.25"/>
  <cols>
    <col min="2" max="2" width="46" customWidth="1"/>
    <col min="3" max="3" width="13.85546875" customWidth="1"/>
    <col min="4" max="4" width="13" style="4" customWidth="1"/>
    <col min="5" max="5" width="9.5703125" customWidth="1"/>
    <col min="6" max="6" width="10.5703125" customWidth="1"/>
    <col min="7" max="7" width="10" customWidth="1"/>
    <col min="8" max="9" width="13.28515625" customWidth="1"/>
    <col min="10" max="10" width="10.28515625" style="4" customWidth="1"/>
    <col min="11" max="11" width="3.42578125" style="21" customWidth="1"/>
  </cols>
  <sheetData>
    <row r="1" spans="1:14" ht="15.75" thickBot="1" x14ac:dyDescent="0.3">
      <c r="A1" s="21"/>
      <c r="B1" s="21"/>
      <c r="C1" s="21"/>
      <c r="D1" s="26"/>
      <c r="E1" s="47"/>
      <c r="F1" s="21"/>
      <c r="G1" s="21"/>
      <c r="H1" s="21"/>
      <c r="I1" s="21"/>
      <c r="J1" s="26"/>
    </row>
    <row r="2" spans="1:14" ht="15.75" thickBot="1" x14ac:dyDescent="0.3">
      <c r="A2" s="21"/>
      <c r="B2" s="51"/>
      <c r="C2" s="21"/>
      <c r="D2" s="57"/>
      <c r="E2" s="169">
        <f>IFERROR(VLOOKUP(Vendas!D2,Clientes!A5:I6,2,0),0)</f>
        <v>0</v>
      </c>
      <c r="F2" s="170"/>
      <c r="G2" s="170"/>
      <c r="H2" s="170"/>
      <c r="I2" s="56"/>
      <c r="J2" s="26"/>
    </row>
    <row r="3" spans="1:14" ht="15.75" thickBot="1" x14ac:dyDescent="0.3">
      <c r="A3" s="48"/>
      <c r="B3" s="50"/>
      <c r="C3" s="21"/>
      <c r="D3" s="54"/>
      <c r="E3" s="55"/>
      <c r="F3" s="49"/>
      <c r="G3" s="49"/>
      <c r="H3" s="49"/>
      <c r="I3" s="21"/>
      <c r="J3" s="26"/>
    </row>
    <row r="4" spans="1:14" ht="15.75" thickBot="1" x14ac:dyDescent="0.3">
      <c r="A4" s="48"/>
      <c r="B4" s="50"/>
      <c r="C4" s="48"/>
      <c r="D4" s="171">
        <f>SUMIF(G10:G11140,D2,F10:F11140)</f>
        <v>0</v>
      </c>
      <c r="E4" s="172"/>
      <c r="F4" s="21"/>
      <c r="G4" s="21"/>
      <c r="H4" s="21"/>
      <c r="I4" s="21"/>
      <c r="J4" s="26"/>
    </row>
    <row r="5" spans="1:14" ht="15.75" thickBot="1" x14ac:dyDescent="0.3">
      <c r="A5" s="48"/>
      <c r="B5" s="52"/>
      <c r="C5" s="21"/>
      <c r="D5" s="53"/>
      <c r="E5" s="49"/>
      <c r="F5" s="21"/>
      <c r="G5" s="21"/>
      <c r="H5" s="21"/>
      <c r="I5" s="21"/>
      <c r="J5" s="26"/>
    </row>
    <row r="6" spans="1:14" ht="16.5" thickBot="1" x14ac:dyDescent="0.3">
      <c r="A6" s="21"/>
      <c r="B6" s="49"/>
      <c r="C6" s="21"/>
      <c r="D6" s="26"/>
      <c r="E6" s="21"/>
      <c r="F6" s="21"/>
      <c r="G6" s="21"/>
      <c r="H6" s="21"/>
      <c r="I6" s="21"/>
      <c r="J6" s="59" t="s">
        <v>22</v>
      </c>
      <c r="K6" s="58"/>
      <c r="L6" s="46"/>
    </row>
    <row r="7" spans="1:14" x14ac:dyDescent="0.25">
      <c r="A7" s="21"/>
      <c r="B7" s="21"/>
      <c r="C7" s="21"/>
      <c r="D7" s="173" t="s">
        <v>31</v>
      </c>
      <c r="E7" s="173"/>
      <c r="F7" s="173"/>
      <c r="G7" s="173"/>
      <c r="H7" s="173"/>
      <c r="I7" s="21"/>
      <c r="J7" s="167">
        <f>SUBTOTAL(109,F10:F20832)</f>
        <v>0</v>
      </c>
    </row>
    <row r="8" spans="1:14" ht="15.75" thickBot="1" x14ac:dyDescent="0.3">
      <c r="A8" s="21"/>
      <c r="B8" s="21"/>
      <c r="C8" s="21"/>
      <c r="D8" s="173"/>
      <c r="E8" s="173"/>
      <c r="F8" s="173"/>
      <c r="G8" s="173"/>
      <c r="H8" s="173"/>
      <c r="I8" s="21"/>
      <c r="J8" s="168"/>
    </row>
    <row r="9" spans="1:14" x14ac:dyDescent="0.25">
      <c r="A9" s="21"/>
      <c r="B9" s="21"/>
      <c r="C9" s="21"/>
      <c r="D9" s="26"/>
      <c r="E9" s="21"/>
      <c r="F9" s="21"/>
      <c r="G9" s="21"/>
      <c r="H9" s="21"/>
      <c r="I9" s="21"/>
      <c r="J9" s="60"/>
    </row>
    <row r="10" spans="1:14" ht="13.5" customHeight="1" x14ac:dyDescent="0.25">
      <c r="A10" s="42" t="s">
        <v>0</v>
      </c>
      <c r="B10" s="42" t="s">
        <v>1</v>
      </c>
      <c r="C10" s="42" t="s">
        <v>12</v>
      </c>
      <c r="D10" s="43" t="s">
        <v>21</v>
      </c>
      <c r="E10" s="44" t="s">
        <v>27</v>
      </c>
      <c r="F10" s="44" t="s">
        <v>22</v>
      </c>
      <c r="G10" s="42" t="s">
        <v>23</v>
      </c>
      <c r="H10" s="44" t="s">
        <v>42</v>
      </c>
      <c r="I10" s="44" t="s">
        <v>26</v>
      </c>
      <c r="J10" s="43" t="s">
        <v>24</v>
      </c>
    </row>
    <row r="11" spans="1:14" hidden="1" x14ac:dyDescent="0.25">
      <c r="A11" s="31"/>
      <c r="B11" s="22" t="str">
        <f>IF(Saidas[SKU]="","",VLOOKUP(Saidas[[#This Row],[SKU]],Estoque[[SKU]:[Descrição]],2,FALSE))</f>
        <v/>
      </c>
      <c r="C11" s="22" t="str">
        <f>IF(Saidas[SKU]="","",VLOOKUP(Saidas[[#This Row],[SKU]],Estoque[[SKU]:[Medição]],4,FALSE))</f>
        <v/>
      </c>
      <c r="D11" s="27">
        <f>IFERROR(VLOOKUP(Saidas[SKU],Estoque[#All],5,0),0)</f>
        <v>0</v>
      </c>
      <c r="E11" s="25"/>
      <c r="F11" s="28">
        <f>Saidas[Valor Unit.]*Saidas[Quant.]</f>
        <v>0</v>
      </c>
      <c r="G11" s="32"/>
      <c r="H11" s="105"/>
      <c r="I11" s="106"/>
      <c r="J11" s="45">
        <f>IFERROR(VLOOKUP(Saidas[SKU],Estoque[#All],8,0),0)</f>
        <v>0</v>
      </c>
    </row>
    <row r="12" spans="1:14" x14ac:dyDescent="0.25">
      <c r="A12" s="31"/>
      <c r="B12" s="22" t="str">
        <f>IF(Saidas[SKU]="","",VLOOKUP(Saidas[[#This Row],[SKU]],Estoque[[SKU]:[Descrição]],2,FALSE))</f>
        <v/>
      </c>
      <c r="C12" s="22" t="str">
        <f>IF(Saidas[SKU]="","",VLOOKUP(Saidas[[#This Row],[SKU]],Estoque[[SKU]:[Medição]],4,FALSE))</f>
        <v/>
      </c>
      <c r="D12" s="27">
        <f>IFERROR(VLOOKUP(Saidas[SKU],Estoque[#All],5,0),0)</f>
        <v>0</v>
      </c>
      <c r="E12" s="25"/>
      <c r="F12" s="28">
        <f>Saidas[Valor Unit.]*Saidas[Quant.]</f>
        <v>0</v>
      </c>
      <c r="G12" s="32"/>
      <c r="H12" s="105"/>
      <c r="I12" s="106"/>
      <c r="J12" s="45">
        <f>IFERROR(VLOOKUP(Saidas[SKU],Estoque[#All],8,0),0)</f>
        <v>0</v>
      </c>
      <c r="L12" s="111"/>
      <c r="M12" s="111"/>
      <c r="N12" s="111"/>
    </row>
    <row r="13" spans="1:14" x14ac:dyDescent="0.25">
      <c r="A13" s="31"/>
      <c r="B13" s="22" t="str">
        <f>IF(Saidas[SKU]="","",VLOOKUP(Saidas[[#This Row],[SKU]],Estoque[[SKU]:[Descrição]],2,FALSE))</f>
        <v/>
      </c>
      <c r="C13" s="22" t="str">
        <f>IF(Saidas[SKU]="","",VLOOKUP(Saidas[[#This Row],[SKU]],Estoque[[SKU]:[Medição]],4,FALSE))</f>
        <v/>
      </c>
      <c r="D13" s="27">
        <f>IFERROR(VLOOKUP(Saidas[SKU],Estoque[#All],5,0),0)</f>
        <v>0</v>
      </c>
      <c r="E13" s="25"/>
      <c r="F13" s="28">
        <f>Saidas[Valor Unit.]*Saidas[Quant.]</f>
        <v>0</v>
      </c>
      <c r="G13" s="32"/>
      <c r="H13" s="105"/>
      <c r="I13" s="106"/>
      <c r="J13" s="45">
        <f>IFERROR(VLOOKUP(Saidas[SKU],Estoque[#All],8,0),0)</f>
        <v>0</v>
      </c>
    </row>
    <row r="14" spans="1:14" x14ac:dyDescent="0.25">
      <c r="A14" s="31"/>
      <c r="B14" s="22" t="str">
        <f>IF(Saidas[SKU]="","",VLOOKUP(Saidas[[#This Row],[SKU]],Estoque[[SKU]:[Descrição]],2,FALSE))</f>
        <v/>
      </c>
      <c r="C14" s="22" t="str">
        <f>IF(Saidas[SKU]="","",VLOOKUP(Saidas[[#This Row],[SKU]],Estoque[[SKU]:[Medição]],4,FALSE))</f>
        <v/>
      </c>
      <c r="D14" s="27">
        <f>IFERROR(VLOOKUP(Saidas[SKU],Estoque[#All],5,0),0)</f>
        <v>0</v>
      </c>
      <c r="E14" s="25"/>
      <c r="F14" s="28">
        <f>Saidas[Valor Unit.]*Saidas[Quant.]</f>
        <v>0</v>
      </c>
      <c r="G14" s="32"/>
      <c r="H14" s="105"/>
      <c r="I14" s="106"/>
      <c r="J14" s="45">
        <f>IFERROR(VLOOKUP(Saidas[SKU],Estoque[#All],8,0),0)</f>
        <v>0</v>
      </c>
    </row>
    <row r="15" spans="1:14" x14ac:dyDescent="0.25">
      <c r="A15" s="31"/>
      <c r="B15" s="22" t="str">
        <f>IF(Saidas[SKU]="","",VLOOKUP(Saidas[[#This Row],[SKU]],Estoque[[SKU]:[Descrição]],2,FALSE))</f>
        <v/>
      </c>
      <c r="C15" s="22" t="str">
        <f>IF(Saidas[SKU]="","",VLOOKUP(Saidas[[#This Row],[SKU]],Estoque[[SKU]:[Medição]],4,FALSE))</f>
        <v/>
      </c>
      <c r="D15" s="27">
        <f>IFERROR(VLOOKUP(Saidas[SKU],Estoque[#All],5,0),0)</f>
        <v>0</v>
      </c>
      <c r="E15" s="25"/>
      <c r="F15" s="28">
        <f>Saidas[Valor Unit.]*Saidas[Quant.]</f>
        <v>0</v>
      </c>
      <c r="G15" s="32"/>
      <c r="H15" s="105"/>
      <c r="I15" s="106"/>
      <c r="J15" s="45">
        <f>IFERROR(VLOOKUP(Saidas[SKU],Estoque[#All],8,0),0)</f>
        <v>0</v>
      </c>
    </row>
    <row r="16" spans="1:14" x14ac:dyDescent="0.25">
      <c r="A16" s="31"/>
      <c r="B16" s="22" t="str">
        <f>IF(Saidas[SKU]="","",VLOOKUP(Saidas[[#This Row],[SKU]],Estoque[[SKU]:[Descrição]],2,FALSE))</f>
        <v/>
      </c>
      <c r="C16" s="22" t="str">
        <f>IF(Saidas[SKU]="","",VLOOKUP(Saidas[[#This Row],[SKU]],Estoque[[SKU]:[Medição]],4,FALSE))</f>
        <v/>
      </c>
      <c r="D16" s="27">
        <f>IFERROR(VLOOKUP(Saidas[SKU],Estoque[#All],5,0),0)</f>
        <v>0</v>
      </c>
      <c r="E16" s="25"/>
      <c r="F16" s="28">
        <f>Saidas[Valor Unit.]*Saidas[Quant.]</f>
        <v>0</v>
      </c>
      <c r="G16" s="32"/>
      <c r="H16" s="105"/>
      <c r="I16" s="106"/>
      <c r="J16" s="45">
        <f>IFERROR(VLOOKUP(Saidas[SKU],Estoque[#All],8,0),0)</f>
        <v>0</v>
      </c>
    </row>
    <row r="17" spans="1:10" x14ac:dyDescent="0.25">
      <c r="A17" s="31"/>
      <c r="B17" s="22" t="str">
        <f>IF(Saidas[SKU]="","",VLOOKUP(Saidas[[#This Row],[SKU]],Estoque[[SKU]:[Descrição]],2,FALSE))</f>
        <v/>
      </c>
      <c r="C17" s="22" t="str">
        <f>IF(Saidas[SKU]="","",VLOOKUP(Saidas[[#This Row],[SKU]],Estoque[[SKU]:[Medição]],4,FALSE))</f>
        <v/>
      </c>
      <c r="D17" s="27">
        <f>IFERROR(VLOOKUP(Saidas[SKU],Estoque[#All],5,0),0)</f>
        <v>0</v>
      </c>
      <c r="E17" s="25"/>
      <c r="F17" s="28">
        <f>Saidas[Valor Unit.]*Saidas[Quant.]</f>
        <v>0</v>
      </c>
      <c r="G17" s="32"/>
      <c r="H17" s="105"/>
      <c r="I17" s="106"/>
      <c r="J17" s="45">
        <f>IFERROR(VLOOKUP(Saidas[SKU],Estoque[#All],8,0),0)</f>
        <v>0</v>
      </c>
    </row>
    <row r="18" spans="1:10" x14ac:dyDescent="0.25">
      <c r="A18" s="31"/>
      <c r="B18" s="22" t="str">
        <f>IF(Saidas[SKU]="","",VLOOKUP(Saidas[[#This Row],[SKU]],Estoque[[SKU]:[Descrição]],2,FALSE))</f>
        <v/>
      </c>
      <c r="C18" s="22" t="str">
        <f>IF(Saidas[SKU]="","",VLOOKUP(Saidas[[#This Row],[SKU]],Estoque[[SKU]:[Medição]],4,FALSE))</f>
        <v/>
      </c>
      <c r="D18" s="27">
        <f>IFERROR(VLOOKUP(Saidas[SKU],Estoque[#All],5,0),0)</f>
        <v>0</v>
      </c>
      <c r="E18" s="25"/>
      <c r="F18" s="28">
        <f>Saidas[Valor Unit.]*Saidas[Quant.]</f>
        <v>0</v>
      </c>
      <c r="G18" s="32"/>
      <c r="H18" s="105"/>
      <c r="I18" s="106"/>
      <c r="J18" s="45">
        <f>IFERROR(VLOOKUP(Saidas[SKU],Estoque[#All],8,0),0)</f>
        <v>0</v>
      </c>
    </row>
    <row r="19" spans="1:10" x14ac:dyDescent="0.25">
      <c r="A19" s="31"/>
      <c r="B19" s="22" t="str">
        <f>IF(Saidas[SKU]="","",VLOOKUP(Saidas[[#This Row],[SKU]],Estoque[[SKU]:[Descrição]],2,FALSE))</f>
        <v/>
      </c>
      <c r="C19" s="22" t="str">
        <f>IF(Saidas[SKU]="","",VLOOKUP(Saidas[[#This Row],[SKU]],Estoque[[SKU]:[Medição]],4,FALSE))</f>
        <v/>
      </c>
      <c r="D19" s="27">
        <f>IFERROR(VLOOKUP(Saidas[SKU],Estoque[#All],5,0),0)</f>
        <v>0</v>
      </c>
      <c r="E19" s="25"/>
      <c r="F19" s="28">
        <f>Saidas[Valor Unit.]*Saidas[Quant.]</f>
        <v>0</v>
      </c>
      <c r="G19" s="32"/>
      <c r="H19" s="105"/>
      <c r="I19" s="106"/>
      <c r="J19" s="45">
        <f>IFERROR(VLOOKUP(Saidas[SKU],Estoque[#All],8,0),0)</f>
        <v>0</v>
      </c>
    </row>
    <row r="20" spans="1:10" x14ac:dyDescent="0.25">
      <c r="A20" s="31"/>
      <c r="B20" s="22" t="str">
        <f>IF(Saidas[SKU]="","",VLOOKUP(Saidas[[#This Row],[SKU]],Estoque[[SKU]:[Descrição]],2,FALSE))</f>
        <v/>
      </c>
      <c r="C20" s="22" t="str">
        <f>IF(Saidas[SKU]="","",VLOOKUP(Saidas[[#This Row],[SKU]],Estoque[[SKU]:[Medição]],4,FALSE))</f>
        <v/>
      </c>
      <c r="D20" s="27">
        <f>IFERROR(VLOOKUP(Saidas[SKU],Estoque[#All],5,0),0)</f>
        <v>0</v>
      </c>
      <c r="E20" s="25"/>
      <c r="F20" s="28">
        <f>Saidas[Valor Unit.]*Saidas[Quant.]</f>
        <v>0</v>
      </c>
      <c r="G20" s="32"/>
      <c r="H20" s="105"/>
      <c r="I20" s="106"/>
      <c r="J20" s="45">
        <f>IFERROR(VLOOKUP(Saidas[SKU],Estoque[#All],8,0),0)</f>
        <v>0</v>
      </c>
    </row>
    <row r="21" spans="1:10" x14ac:dyDescent="0.25">
      <c r="A21" s="31"/>
      <c r="B21" s="22" t="str">
        <f>IF(Saidas[SKU]="","",VLOOKUP(Saidas[[#This Row],[SKU]],Estoque[[SKU]:[Descrição]],2,FALSE))</f>
        <v/>
      </c>
      <c r="C21" s="22" t="str">
        <f>IF(Saidas[SKU]="","",VLOOKUP(Saidas[[#This Row],[SKU]],Estoque[[SKU]:[Medição]],4,FALSE))</f>
        <v/>
      </c>
      <c r="D21" s="27">
        <f>IFERROR(VLOOKUP(Saidas[SKU],Estoque[#All],5,0),0)</f>
        <v>0</v>
      </c>
      <c r="E21" s="25"/>
      <c r="F21" s="28">
        <f>Saidas[Valor Unit.]*Saidas[Quant.]</f>
        <v>0</v>
      </c>
      <c r="G21" s="32"/>
      <c r="H21" s="105"/>
      <c r="I21" s="106"/>
      <c r="J21" s="45">
        <f>IFERROR(VLOOKUP(Saidas[SKU],Estoque[#All],8,0),0)</f>
        <v>0</v>
      </c>
    </row>
    <row r="22" spans="1:10" s="19" customFormat="1" x14ac:dyDescent="0.25">
      <c r="A22" s="37"/>
      <c r="B22" s="23"/>
      <c r="C22" s="23"/>
      <c r="D22" s="38"/>
      <c r="E22" s="24"/>
      <c r="F22" s="39"/>
      <c r="G22" s="40"/>
      <c r="H22" s="61"/>
      <c r="I22" s="62"/>
      <c r="J22" s="41"/>
    </row>
    <row r="23" spans="1:10" x14ac:dyDescent="0.25">
      <c r="A23" s="37"/>
      <c r="B23" s="23"/>
      <c r="C23" s="23"/>
      <c r="D23" s="38"/>
      <c r="E23" s="24"/>
      <c r="F23" s="39"/>
      <c r="G23" s="40"/>
      <c r="H23" s="61"/>
      <c r="I23" s="62"/>
      <c r="J23" s="41"/>
    </row>
    <row r="24" spans="1:10" x14ac:dyDescent="0.25">
      <c r="A24" s="37"/>
      <c r="B24" s="23"/>
      <c r="C24" s="23"/>
      <c r="D24" s="38"/>
      <c r="E24" s="24"/>
      <c r="F24" s="39"/>
      <c r="G24" s="40"/>
      <c r="H24" s="61"/>
      <c r="I24" s="62"/>
      <c r="J24" s="41"/>
    </row>
    <row r="25" spans="1:10" x14ac:dyDescent="0.25">
      <c r="A25" s="37"/>
      <c r="B25" s="23"/>
      <c r="C25" s="23"/>
      <c r="D25" s="38"/>
      <c r="E25" s="24"/>
      <c r="F25" s="39"/>
      <c r="G25" s="40"/>
      <c r="H25" s="61"/>
      <c r="I25" s="62"/>
      <c r="J25" s="41"/>
    </row>
    <row r="26" spans="1:10" x14ac:dyDescent="0.25">
      <c r="A26" s="37"/>
      <c r="B26" s="23"/>
      <c r="C26" s="23"/>
      <c r="D26" s="38"/>
      <c r="E26" s="24"/>
      <c r="F26" s="39"/>
      <c r="G26" s="40"/>
      <c r="H26" s="61"/>
      <c r="I26" s="62"/>
      <c r="J26" s="41"/>
    </row>
    <row r="27" spans="1:10" x14ac:dyDescent="0.25">
      <c r="A27" s="37"/>
      <c r="B27" s="23"/>
      <c r="C27" s="23"/>
      <c r="D27" s="38"/>
      <c r="E27" s="24"/>
      <c r="F27" s="39"/>
      <c r="G27" s="40"/>
      <c r="H27" s="61"/>
      <c r="I27" s="62"/>
      <c r="J27" s="41"/>
    </row>
    <row r="28" spans="1:10" x14ac:dyDescent="0.25">
      <c r="A28" s="37"/>
      <c r="B28" s="23"/>
      <c r="C28" s="23"/>
      <c r="D28" s="38"/>
      <c r="E28" s="24"/>
      <c r="F28" s="39"/>
      <c r="G28" s="40"/>
      <c r="H28" s="41"/>
      <c r="I28" s="19"/>
      <c r="J28" s="41"/>
    </row>
    <row r="29" spans="1:10" x14ac:dyDescent="0.25">
      <c r="D29"/>
    </row>
    <row r="30" spans="1:10" x14ac:dyDescent="0.25">
      <c r="D30"/>
    </row>
    <row r="31" spans="1:10" x14ac:dyDescent="0.25">
      <c r="D31"/>
    </row>
    <row r="32" spans="1:10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</sheetData>
  <mergeCells count="4">
    <mergeCell ref="J7:J8"/>
    <mergeCell ref="E2:H2"/>
    <mergeCell ref="D4:E4"/>
    <mergeCell ref="D7:H8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/>
  <dimension ref="A1:J35"/>
  <sheetViews>
    <sheetView showGridLines="0" workbookViewId="0">
      <pane ySplit="4" topLeftCell="A5" activePane="bottomLeft" state="frozen"/>
      <selection pane="bottomLeft" activeCell="E13" sqref="E13"/>
    </sheetView>
  </sheetViews>
  <sheetFormatPr defaultRowHeight="15" x14ac:dyDescent="0.25"/>
  <cols>
    <col min="1" max="1" width="11.140625" customWidth="1"/>
    <col min="2" max="2" width="33" customWidth="1"/>
    <col min="3" max="3" width="13" customWidth="1"/>
    <col min="4" max="4" width="26.140625" customWidth="1"/>
    <col min="5" max="5" width="19" customWidth="1"/>
    <col min="6" max="6" width="11.140625" customWidth="1"/>
    <col min="7" max="7" width="17.28515625" customWidth="1"/>
    <col min="8" max="8" width="16.85546875" customWidth="1"/>
    <col min="9" max="9" width="15.42578125" customWidth="1"/>
  </cols>
  <sheetData>
    <row r="1" spans="1:10" x14ac:dyDescent="0.25">
      <c r="A1" s="20"/>
      <c r="B1" s="20"/>
      <c r="C1" s="20"/>
      <c r="D1" s="20"/>
      <c r="E1" s="174"/>
      <c r="F1" s="20"/>
      <c r="G1" s="20"/>
      <c r="H1" s="20"/>
      <c r="I1" s="17" t="s">
        <v>39</v>
      </c>
    </row>
    <row r="2" spans="1:10" x14ac:dyDescent="0.25">
      <c r="A2" s="20"/>
      <c r="B2" s="20"/>
      <c r="C2" s="20"/>
      <c r="D2" s="20"/>
      <c r="E2" s="174"/>
      <c r="F2" s="20"/>
      <c r="G2" s="20"/>
      <c r="H2" s="20"/>
      <c r="I2" s="20"/>
    </row>
    <row r="3" spans="1:10" x14ac:dyDescent="0.25">
      <c r="A3" s="20"/>
      <c r="B3" s="20"/>
      <c r="C3" s="20"/>
      <c r="D3" s="20"/>
      <c r="E3" s="20"/>
      <c r="F3" s="20"/>
      <c r="G3" s="20"/>
      <c r="H3" s="20"/>
      <c r="I3" s="20"/>
    </row>
    <row r="4" spans="1:10" x14ac:dyDescent="0.25">
      <c r="A4" s="33" t="s">
        <v>25</v>
      </c>
      <c r="B4" s="33" t="s">
        <v>43</v>
      </c>
      <c r="C4" s="33" t="s">
        <v>44</v>
      </c>
      <c r="D4" s="33" t="s">
        <v>45</v>
      </c>
      <c r="E4" s="33" t="s">
        <v>46</v>
      </c>
      <c r="F4" s="33" t="s">
        <v>47</v>
      </c>
      <c r="G4" s="33" t="s">
        <v>48</v>
      </c>
      <c r="H4" s="33" t="s">
        <v>49</v>
      </c>
      <c r="I4" s="33" t="s">
        <v>50</v>
      </c>
    </row>
    <row r="5" spans="1:10" x14ac:dyDescent="0.25">
      <c r="A5" s="34"/>
      <c r="B5" s="36"/>
      <c r="C5" s="36"/>
      <c r="D5" s="36"/>
      <c r="E5" s="36"/>
      <c r="F5" s="35"/>
      <c r="G5" s="35"/>
      <c r="H5" s="35"/>
      <c r="I5" s="35"/>
      <c r="J5" s="19"/>
    </row>
    <row r="6" spans="1:10" x14ac:dyDescent="0.25">
      <c r="A6" s="34"/>
      <c r="B6" s="36"/>
      <c r="C6" s="36"/>
      <c r="D6" s="36"/>
      <c r="E6" s="36"/>
      <c r="F6" s="35"/>
      <c r="G6" s="35"/>
      <c r="H6" s="35"/>
      <c r="I6" s="35"/>
    </row>
    <row r="12" spans="1:10" x14ac:dyDescent="0.25">
      <c r="A12" s="29"/>
      <c r="B12" s="30"/>
      <c r="C12" s="30"/>
      <c r="D12" s="30"/>
      <c r="E12" s="30"/>
      <c r="F12" s="30"/>
      <c r="G12" s="30"/>
      <c r="H12" s="30"/>
      <c r="I12" s="30"/>
    </row>
    <row r="13" spans="1:10" x14ac:dyDescent="0.25">
      <c r="A13" s="29"/>
      <c r="B13" s="30"/>
      <c r="C13" s="30"/>
      <c r="D13" s="30"/>
      <c r="E13" s="30"/>
      <c r="F13" s="30"/>
      <c r="G13" s="30"/>
      <c r="H13" s="30"/>
      <c r="I13" s="30"/>
    </row>
    <row r="14" spans="1:10" x14ac:dyDescent="0.25">
      <c r="A14" s="29"/>
      <c r="B14" s="30"/>
      <c r="C14" s="30"/>
      <c r="D14" s="30"/>
      <c r="E14" s="30"/>
      <c r="F14" s="30"/>
      <c r="G14" s="30"/>
      <c r="H14" s="30"/>
      <c r="I14" s="30"/>
    </row>
    <row r="15" spans="1:10" x14ac:dyDescent="0.25">
      <c r="A15" s="29"/>
      <c r="B15" s="30"/>
      <c r="C15" s="30"/>
      <c r="D15" s="30"/>
      <c r="E15" s="30"/>
      <c r="F15" s="30"/>
      <c r="G15" s="30"/>
      <c r="H15" s="30"/>
      <c r="I15" s="30"/>
    </row>
    <row r="16" spans="1:10" x14ac:dyDescent="0.25">
      <c r="A16" s="29"/>
      <c r="B16" s="30"/>
      <c r="C16" s="30"/>
      <c r="D16" s="30"/>
      <c r="E16" s="30"/>
      <c r="F16" s="30"/>
      <c r="G16" s="30"/>
      <c r="H16" s="30"/>
      <c r="I16" s="30"/>
    </row>
    <row r="17" spans="1:9" x14ac:dyDescent="0.25">
      <c r="A17" s="29"/>
      <c r="B17" s="30"/>
      <c r="C17" s="30"/>
      <c r="D17" s="30"/>
      <c r="E17" s="30"/>
      <c r="F17" s="30"/>
      <c r="G17" s="30"/>
      <c r="H17" s="30"/>
      <c r="I17" s="30"/>
    </row>
    <row r="18" spans="1:9" x14ac:dyDescent="0.25">
      <c r="A18" s="29"/>
      <c r="B18" s="30"/>
      <c r="C18" s="30"/>
      <c r="D18" s="30"/>
      <c r="E18" s="30"/>
      <c r="F18" s="30"/>
      <c r="G18" s="30"/>
      <c r="H18" s="30"/>
      <c r="I18" s="30"/>
    </row>
    <row r="19" spans="1:9" x14ac:dyDescent="0.25">
      <c r="A19" s="29"/>
      <c r="B19" s="30"/>
      <c r="C19" s="30"/>
      <c r="D19" s="30"/>
      <c r="E19" s="30"/>
      <c r="F19" s="30"/>
      <c r="G19" s="30"/>
      <c r="H19" s="30"/>
      <c r="I19" s="30"/>
    </row>
    <row r="20" spans="1:9" x14ac:dyDescent="0.25">
      <c r="A20" s="29"/>
      <c r="B20" s="30"/>
      <c r="C20" s="30"/>
      <c r="D20" s="30"/>
      <c r="E20" s="30"/>
      <c r="F20" s="30"/>
      <c r="G20" s="30"/>
      <c r="H20" s="30"/>
      <c r="I20" s="30"/>
    </row>
    <row r="21" spans="1:9" x14ac:dyDescent="0.25">
      <c r="A21" s="29"/>
      <c r="B21" s="30"/>
      <c r="C21" s="30"/>
      <c r="D21" s="30"/>
      <c r="E21" s="30"/>
      <c r="F21" s="30"/>
      <c r="G21" s="30"/>
      <c r="H21" s="30"/>
      <c r="I21" s="30"/>
    </row>
    <row r="22" spans="1:9" x14ac:dyDescent="0.25">
      <c r="A22" s="29"/>
      <c r="B22" s="30"/>
      <c r="C22" s="30"/>
      <c r="D22" s="30"/>
      <c r="E22" s="30"/>
      <c r="F22" s="30"/>
      <c r="G22" s="30"/>
      <c r="H22" s="30"/>
      <c r="I22" s="30"/>
    </row>
    <row r="23" spans="1:9" x14ac:dyDescent="0.25">
      <c r="A23" s="29"/>
      <c r="B23" s="30"/>
      <c r="C23" s="30"/>
      <c r="D23" s="30"/>
      <c r="E23" s="30"/>
      <c r="F23" s="30"/>
      <c r="G23" s="30"/>
      <c r="H23" s="30"/>
      <c r="I23" s="30"/>
    </row>
    <row r="24" spans="1:9" x14ac:dyDescent="0.25">
      <c r="A24" s="29"/>
      <c r="B24" s="30"/>
      <c r="C24" s="30"/>
      <c r="D24" s="30"/>
      <c r="E24" s="30"/>
      <c r="F24" s="30"/>
      <c r="G24" s="30"/>
      <c r="H24" s="30"/>
      <c r="I24" s="30"/>
    </row>
    <row r="25" spans="1:9" x14ac:dyDescent="0.25">
      <c r="A25" s="29"/>
      <c r="B25" s="30"/>
      <c r="C25" s="30"/>
      <c r="D25" s="30"/>
      <c r="E25" s="30"/>
      <c r="F25" s="30"/>
      <c r="G25" s="30"/>
      <c r="H25" s="30"/>
      <c r="I25" s="30"/>
    </row>
    <row r="26" spans="1:9" x14ac:dyDescent="0.25">
      <c r="A26" s="29"/>
      <c r="B26" s="30"/>
      <c r="C26" s="30"/>
      <c r="D26" s="30"/>
      <c r="E26" s="30"/>
      <c r="F26" s="30"/>
      <c r="G26" s="30"/>
      <c r="H26" s="30"/>
      <c r="I26" s="30"/>
    </row>
    <row r="27" spans="1:9" x14ac:dyDescent="0.25">
      <c r="A27" s="30"/>
      <c r="B27" s="30"/>
      <c r="C27" s="30"/>
      <c r="D27" s="30"/>
      <c r="E27" s="30"/>
      <c r="F27" s="30"/>
      <c r="G27" s="30"/>
      <c r="H27" s="30"/>
      <c r="I27" s="30"/>
    </row>
    <row r="28" spans="1:9" x14ac:dyDescent="0.25">
      <c r="A28" s="30"/>
      <c r="B28" s="30"/>
      <c r="C28" s="30"/>
      <c r="D28" s="30"/>
      <c r="E28" s="30"/>
      <c r="F28" s="30"/>
      <c r="G28" s="30"/>
      <c r="H28" s="30"/>
      <c r="I28" s="30"/>
    </row>
    <row r="29" spans="1:9" x14ac:dyDescent="0.25">
      <c r="A29" s="30"/>
      <c r="B29" s="30"/>
      <c r="C29" s="30"/>
      <c r="D29" s="30"/>
      <c r="E29" s="30"/>
      <c r="F29" s="30"/>
      <c r="G29" s="30"/>
      <c r="H29" s="30"/>
      <c r="I29" s="30"/>
    </row>
    <row r="30" spans="1:9" x14ac:dyDescent="0.25">
      <c r="A30" s="30"/>
      <c r="B30" s="30"/>
      <c r="C30" s="30"/>
      <c r="D30" s="30"/>
      <c r="E30" s="30"/>
      <c r="F30" s="30"/>
      <c r="G30" s="30"/>
      <c r="H30" s="30"/>
      <c r="I30" s="30"/>
    </row>
    <row r="31" spans="1:9" x14ac:dyDescent="0.25">
      <c r="A31" s="30"/>
      <c r="B31" s="30"/>
      <c r="C31" s="30"/>
      <c r="D31" s="30"/>
      <c r="E31" s="30"/>
      <c r="F31" s="30"/>
      <c r="G31" s="30"/>
      <c r="H31" s="30"/>
      <c r="I31" s="30"/>
    </row>
    <row r="32" spans="1:9" x14ac:dyDescent="0.25">
      <c r="A32" s="30"/>
      <c r="B32" s="30"/>
      <c r="C32" s="30"/>
      <c r="D32" s="30"/>
      <c r="E32" s="30"/>
      <c r="F32" s="30"/>
      <c r="G32" s="30"/>
      <c r="H32" s="30"/>
      <c r="I32" s="30"/>
    </row>
    <row r="33" spans="1:9" x14ac:dyDescent="0.25">
      <c r="A33" s="30"/>
      <c r="B33" s="30"/>
      <c r="C33" s="30"/>
      <c r="D33" s="30"/>
      <c r="E33" s="30"/>
      <c r="F33" s="30"/>
      <c r="G33" s="30"/>
      <c r="H33" s="30"/>
      <c r="I33" s="30"/>
    </row>
    <row r="34" spans="1:9" x14ac:dyDescent="0.25">
      <c r="A34" s="30"/>
      <c r="B34" s="30"/>
      <c r="C34" s="30"/>
      <c r="D34" s="30"/>
      <c r="E34" s="30"/>
      <c r="F34" s="30"/>
      <c r="G34" s="30"/>
      <c r="H34" s="30"/>
      <c r="I34" s="30"/>
    </row>
    <row r="35" spans="1:9" x14ac:dyDescent="0.25">
      <c r="A35" s="30"/>
      <c r="B35" s="30"/>
      <c r="C35" s="30"/>
      <c r="D35" s="30"/>
      <c r="E35" s="30"/>
      <c r="F35" s="30"/>
      <c r="G35" s="30"/>
      <c r="H35" s="30"/>
      <c r="I35" s="30"/>
    </row>
  </sheetData>
  <mergeCells count="1">
    <mergeCell ref="E1:E2"/>
  </mergeCell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B1:N16"/>
  <sheetViews>
    <sheetView showGridLines="0" workbookViewId="0">
      <pane ySplit="63" topLeftCell="A64" activePane="bottomLeft" state="frozen"/>
      <selection pane="bottomLeft" activeCell="F20" sqref="F20"/>
    </sheetView>
  </sheetViews>
  <sheetFormatPr defaultRowHeight="15" x14ac:dyDescent="0.25"/>
  <cols>
    <col min="1" max="1" width="9.140625" style="21"/>
    <col min="2" max="2" width="17.5703125" style="21" customWidth="1"/>
    <col min="3" max="3" width="9.140625" style="21"/>
    <col min="4" max="4" width="15.140625" style="21" customWidth="1"/>
    <col min="5" max="16384" width="9.140625" style="21"/>
  </cols>
  <sheetData>
    <row r="1" spans="2:14" x14ac:dyDescent="0.25">
      <c r="J1" s="176" t="s">
        <v>40</v>
      </c>
      <c r="K1" s="176"/>
    </row>
    <row r="2" spans="2:14" ht="15.75" thickBot="1" x14ac:dyDescent="0.3"/>
    <row r="3" spans="2:14" x14ac:dyDescent="0.25">
      <c r="B3" s="112"/>
      <c r="C3" s="113"/>
      <c r="D3" s="113"/>
      <c r="E3" s="113"/>
      <c r="F3" s="113"/>
      <c r="G3" s="113"/>
      <c r="H3" s="114"/>
    </row>
    <row r="4" spans="2:14" x14ac:dyDescent="0.25">
      <c r="B4" s="107"/>
      <c r="C4" s="115"/>
      <c r="D4" s="47"/>
      <c r="E4" s="115"/>
      <c r="F4" s="115"/>
      <c r="G4" s="115"/>
      <c r="H4" s="114"/>
    </row>
    <row r="5" spans="2:14" x14ac:dyDescent="0.25">
      <c r="B5" s="116"/>
      <c r="D5" s="116"/>
    </row>
    <row r="6" spans="2:14" ht="33" x14ac:dyDescent="0.25">
      <c r="B6" s="175" t="s">
        <v>30</v>
      </c>
      <c r="C6" s="175"/>
      <c r="D6" s="175"/>
      <c r="E6" s="175"/>
      <c r="F6" s="175"/>
      <c r="G6" s="175"/>
      <c r="H6" s="117"/>
      <c r="I6" s="117"/>
      <c r="J6" s="117"/>
      <c r="K6" s="117"/>
      <c r="L6" s="117"/>
      <c r="M6" s="117"/>
      <c r="N6" s="117"/>
    </row>
    <row r="8" spans="2:14" ht="25.5" x14ac:dyDescent="0.25">
      <c r="B8" s="119" t="s">
        <v>15</v>
      </c>
      <c r="C8" s="118"/>
      <c r="D8" s="119" t="s">
        <v>19</v>
      </c>
      <c r="E8" s="118"/>
      <c r="F8" s="118"/>
      <c r="G8" s="118"/>
      <c r="H8" s="118"/>
      <c r="I8" s="118"/>
      <c r="J8" s="118"/>
      <c r="K8" s="118"/>
      <c r="L8" s="118"/>
      <c r="M8" s="118"/>
      <c r="N8" s="118"/>
    </row>
    <row r="9" spans="2:14" x14ac:dyDescent="0.25">
      <c r="B9" s="82" t="s">
        <v>16</v>
      </c>
      <c r="D9" s="82" t="s">
        <v>7</v>
      </c>
    </row>
    <row r="10" spans="2:14" x14ac:dyDescent="0.25">
      <c r="B10" s="82" t="s">
        <v>17</v>
      </c>
      <c r="D10" s="82" t="s">
        <v>8</v>
      </c>
    </row>
    <row r="11" spans="2:14" x14ac:dyDescent="0.25">
      <c r="D11" s="82" t="s">
        <v>18</v>
      </c>
    </row>
    <row r="12" spans="2:14" x14ac:dyDescent="0.25">
      <c r="D12" s="82" t="s">
        <v>9</v>
      </c>
    </row>
    <row r="13" spans="2:14" x14ac:dyDescent="0.25">
      <c r="D13" s="82" t="s">
        <v>10</v>
      </c>
    </row>
    <row r="14" spans="2:14" x14ac:dyDescent="0.25">
      <c r="D14" s="82" t="s">
        <v>11</v>
      </c>
    </row>
    <row r="15" spans="2:14" x14ac:dyDescent="0.25">
      <c r="D15" s="82" t="s">
        <v>13</v>
      </c>
    </row>
    <row r="16" spans="2:14" x14ac:dyDescent="0.25">
      <c r="D16" s="81" t="s">
        <v>14</v>
      </c>
    </row>
  </sheetData>
  <mergeCells count="2">
    <mergeCell ref="B6:G6"/>
    <mergeCell ref="J1:K1"/>
  </mergeCells>
  <pageMargins left="0.511811024" right="0.511811024" top="0.78740157499999996" bottom="0.78740157499999996" header="0.31496062000000002" footer="0.31496062000000002"/>
  <drawing r:id="rId1"/>
  <tableParts count="2"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B1:R34"/>
  <sheetViews>
    <sheetView showGridLines="0" showRowColHeaders="0" workbookViewId="0">
      <pane ySplit="70" topLeftCell="A71" activePane="bottomLeft" state="frozen"/>
      <selection pane="bottomLeft" activeCell="S31" sqref="S31"/>
    </sheetView>
  </sheetViews>
  <sheetFormatPr defaultRowHeight="15" x14ac:dyDescent="0.25"/>
  <cols>
    <col min="1" max="16384" width="9.140625" style="21"/>
  </cols>
  <sheetData>
    <row r="1" spans="2:18" ht="15.75" thickBot="1" x14ac:dyDescent="0.3"/>
    <row r="2" spans="2:18" x14ac:dyDescent="0.25">
      <c r="B2" s="131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132"/>
    </row>
    <row r="3" spans="2:18" x14ac:dyDescent="0.25">
      <c r="B3" s="56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109"/>
    </row>
    <row r="4" spans="2:18" x14ac:dyDescent="0.25">
      <c r="B4" s="56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109"/>
    </row>
    <row r="5" spans="2:18" x14ac:dyDescent="0.25">
      <c r="B5" s="56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109"/>
    </row>
    <row r="6" spans="2:18" x14ac:dyDescent="0.25">
      <c r="B6" s="56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109"/>
    </row>
    <row r="7" spans="2:18" x14ac:dyDescent="0.25">
      <c r="B7" s="56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109"/>
    </row>
    <row r="8" spans="2:18" x14ac:dyDescent="0.25">
      <c r="B8" s="56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109"/>
    </row>
    <row r="9" spans="2:18" x14ac:dyDescent="0.25">
      <c r="B9" s="56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109"/>
    </row>
    <row r="10" spans="2:18" x14ac:dyDescent="0.25">
      <c r="B10" s="56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109"/>
    </row>
    <row r="11" spans="2:18" x14ac:dyDescent="0.25">
      <c r="B11" s="56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109"/>
    </row>
    <row r="12" spans="2:18" x14ac:dyDescent="0.25">
      <c r="B12" s="56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109"/>
    </row>
    <row r="13" spans="2:18" x14ac:dyDescent="0.25">
      <c r="B13" s="56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109"/>
    </row>
    <row r="14" spans="2:18" x14ac:dyDescent="0.25">
      <c r="B14" s="56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109"/>
    </row>
    <row r="15" spans="2:18" x14ac:dyDescent="0.25">
      <c r="B15" s="56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109"/>
    </row>
    <row r="16" spans="2:18" x14ac:dyDescent="0.25">
      <c r="B16" s="56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109"/>
    </row>
    <row r="17" spans="2:18" x14ac:dyDescent="0.25">
      <c r="B17" s="56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109"/>
    </row>
    <row r="18" spans="2:18" x14ac:dyDescent="0.25">
      <c r="B18" s="56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109"/>
    </row>
    <row r="19" spans="2:18" x14ac:dyDescent="0.25">
      <c r="B19" s="56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109"/>
    </row>
    <row r="20" spans="2:18" x14ac:dyDescent="0.25">
      <c r="B20" s="56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109"/>
    </row>
    <row r="21" spans="2:18" x14ac:dyDescent="0.25">
      <c r="B21" s="56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109"/>
    </row>
    <row r="22" spans="2:18" x14ac:dyDescent="0.25">
      <c r="B22" s="56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109"/>
    </row>
    <row r="23" spans="2:18" x14ac:dyDescent="0.25">
      <c r="B23" s="56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109"/>
    </row>
    <row r="24" spans="2:18" x14ac:dyDescent="0.25">
      <c r="B24" s="56"/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109"/>
    </row>
    <row r="25" spans="2:18" x14ac:dyDescent="0.25">
      <c r="B25" s="56"/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109"/>
    </row>
    <row r="26" spans="2:18" x14ac:dyDescent="0.25">
      <c r="B26" s="56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109"/>
    </row>
    <row r="27" spans="2:18" x14ac:dyDescent="0.25">
      <c r="B27" s="56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109"/>
    </row>
    <row r="28" spans="2:18" x14ac:dyDescent="0.25">
      <c r="B28" s="56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109"/>
    </row>
    <row r="29" spans="2:18" x14ac:dyDescent="0.25">
      <c r="B29" s="56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109"/>
    </row>
    <row r="30" spans="2:18" x14ac:dyDescent="0.25">
      <c r="B30" s="56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109"/>
    </row>
    <row r="31" spans="2:18" x14ac:dyDescent="0.25">
      <c r="B31" s="56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109"/>
    </row>
    <row r="32" spans="2:18" x14ac:dyDescent="0.25">
      <c r="B32" s="56"/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109"/>
    </row>
    <row r="33" spans="2:18" x14ac:dyDescent="0.25">
      <c r="B33" s="56"/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109"/>
    </row>
    <row r="34" spans="2:18" ht="15.75" thickBot="1" x14ac:dyDescent="0.3">
      <c r="B34" s="133"/>
      <c r="C34" s="108"/>
      <c r="D34" s="108"/>
      <c r="E34" s="108"/>
      <c r="F34" s="108"/>
      <c r="G34" s="108"/>
      <c r="H34" s="108"/>
      <c r="I34" s="108"/>
      <c r="J34" s="108"/>
      <c r="K34" s="108"/>
      <c r="L34" s="108"/>
      <c r="M34" s="108"/>
      <c r="N34" s="108"/>
      <c r="O34" s="108"/>
      <c r="P34" s="108"/>
      <c r="Q34" s="108"/>
      <c r="R34" s="110"/>
    </row>
  </sheetData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B4:I15"/>
  <sheetViews>
    <sheetView showGridLines="0" showRowColHeaders="0" workbookViewId="0">
      <pane ySplit="69" topLeftCell="A70" activePane="bottomLeft" state="frozen"/>
      <selection pane="bottomLeft" activeCell="H15" sqref="H15"/>
    </sheetView>
  </sheetViews>
  <sheetFormatPr defaultRowHeight="15" x14ac:dyDescent="0.25"/>
  <cols>
    <col min="1" max="16384" width="9.140625" style="21"/>
  </cols>
  <sheetData>
    <row r="4" spans="2:9" ht="15.75" thickBot="1" x14ac:dyDescent="0.3"/>
    <row r="5" spans="2:9" x14ac:dyDescent="0.25">
      <c r="B5" s="103"/>
      <c r="C5" s="104"/>
      <c r="D5" s="104"/>
      <c r="E5" s="104"/>
      <c r="F5" s="104"/>
      <c r="G5" s="104"/>
      <c r="H5" s="104"/>
      <c r="I5" s="124"/>
    </row>
    <row r="6" spans="2:9" ht="23.25" x14ac:dyDescent="0.35">
      <c r="B6" s="107"/>
      <c r="C6" s="125" t="s">
        <v>32</v>
      </c>
      <c r="D6" s="125"/>
      <c r="E6" s="126"/>
      <c r="F6" s="126"/>
      <c r="G6" s="127"/>
      <c r="H6" s="127"/>
      <c r="I6" s="122"/>
    </row>
    <row r="7" spans="2:9" ht="23.25" x14ac:dyDescent="0.35">
      <c r="B7" s="107"/>
      <c r="C7" s="126" t="s">
        <v>33</v>
      </c>
      <c r="D7" s="126"/>
      <c r="E7" s="126"/>
      <c r="F7" s="126"/>
      <c r="G7" s="127"/>
      <c r="H7" s="127"/>
      <c r="I7" s="122"/>
    </row>
    <row r="8" spans="2:9" ht="23.25" x14ac:dyDescent="0.35">
      <c r="B8" s="107"/>
      <c r="C8" s="126" t="s">
        <v>34</v>
      </c>
      <c r="D8" s="126"/>
      <c r="E8" s="126"/>
      <c r="F8" s="126"/>
      <c r="G8" s="127"/>
      <c r="H8" s="127"/>
      <c r="I8" s="122"/>
    </row>
    <row r="9" spans="2:9" ht="23.25" x14ac:dyDescent="0.35">
      <c r="B9" s="107"/>
      <c r="C9" s="126" t="s">
        <v>35</v>
      </c>
      <c r="D9" s="126"/>
      <c r="E9" s="126"/>
      <c r="F9" s="126"/>
      <c r="G9" s="127"/>
      <c r="H9" s="127"/>
      <c r="I9" s="122"/>
    </row>
    <row r="10" spans="2:9" ht="23.25" x14ac:dyDescent="0.35">
      <c r="B10" s="107"/>
      <c r="C10" s="126" t="s">
        <v>36</v>
      </c>
      <c r="D10" s="126"/>
      <c r="E10" s="126"/>
      <c r="F10" s="126"/>
      <c r="G10" s="127"/>
      <c r="H10" s="127"/>
      <c r="I10" s="122"/>
    </row>
    <row r="11" spans="2:9" ht="26.25" x14ac:dyDescent="0.4">
      <c r="B11" s="107"/>
      <c r="C11" s="120" t="s">
        <v>52</v>
      </c>
      <c r="D11" s="134" t="s">
        <v>53</v>
      </c>
      <c r="E11" s="135"/>
      <c r="F11" s="135"/>
      <c r="G11" s="47"/>
      <c r="H11" s="47"/>
      <c r="I11" s="122"/>
    </row>
    <row r="12" spans="2:9" x14ac:dyDescent="0.25">
      <c r="B12" s="107"/>
      <c r="C12" s="47"/>
      <c r="D12" s="47"/>
      <c r="E12" s="47"/>
      <c r="F12" s="47"/>
      <c r="G12" s="47"/>
      <c r="H12" s="47"/>
      <c r="I12" s="122"/>
    </row>
    <row r="13" spans="2:9" x14ac:dyDescent="0.25">
      <c r="B13" s="107"/>
      <c r="C13" s="47"/>
      <c r="D13" s="47"/>
      <c r="E13" s="47"/>
      <c r="F13" s="47"/>
      <c r="G13" s="47"/>
      <c r="H13" s="47"/>
      <c r="I13" s="122"/>
    </row>
    <row r="14" spans="2:9" x14ac:dyDescent="0.25">
      <c r="B14" s="107"/>
      <c r="C14" s="47"/>
      <c r="D14" s="47"/>
      <c r="E14" s="47"/>
      <c r="F14" s="47"/>
      <c r="G14" s="47"/>
      <c r="H14" s="47"/>
      <c r="I14" s="122"/>
    </row>
    <row r="15" spans="2:9" x14ac:dyDescent="0.25">
      <c r="B15" s="121"/>
      <c r="C15" s="115"/>
      <c r="D15" s="115"/>
      <c r="E15" s="115"/>
      <c r="F15" s="115"/>
      <c r="G15" s="115"/>
      <c r="H15" s="115"/>
      <c r="I15" s="123"/>
    </row>
  </sheetData>
  <hyperlinks>
    <hyperlink ref="D11" r:id="rId1"/>
  </hyperlinks>
  <pageMargins left="0.511811024" right="0.511811024" top="0.78740157499999996" bottom="0.78740157499999996" header="0.31496062000000002" footer="0.31496062000000002"/>
  <pageSetup paperSize="9" orientation="portrait" verticalDpi="0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Menu</vt:lpstr>
      <vt:lpstr>Consultas</vt:lpstr>
      <vt:lpstr>Estoque</vt:lpstr>
      <vt:lpstr>Entradas</vt:lpstr>
      <vt:lpstr>Vendas</vt:lpstr>
      <vt:lpstr>Clientes</vt:lpstr>
      <vt:lpstr>Configuração</vt:lpstr>
      <vt:lpstr>Informaçães</vt:lpstr>
      <vt:lpstr>Ajuda</vt:lpstr>
      <vt:lpstr>MEDIDAS</vt:lpstr>
      <vt:lpstr>TIPO</vt:lpstr>
    </vt:vector>
  </TitlesOfParts>
  <Company>Hewlett-Packard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Gledson</dc:creator>
  <cp:lastModifiedBy>Windows7Brasil 2009 - CMM 70059953</cp:lastModifiedBy>
  <cp:lastPrinted>2012-12-31T19:01:26Z</cp:lastPrinted>
  <dcterms:created xsi:type="dcterms:W3CDTF">2012-12-31T15:15:16Z</dcterms:created>
  <dcterms:modified xsi:type="dcterms:W3CDTF">2016-09-01T13:54:32Z</dcterms:modified>
</cp:coreProperties>
</file>