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esktop\Projeto-VBA-COMUNIDADE\Modelos de Form\VBA ACADEMY\"/>
    </mc:Choice>
  </mc:AlternateContent>
  <xr:revisionPtr revIDLastSave="0" documentId="13_ncr:1_{2910C476-26CF-46CB-A874-357A745A93A2}" xr6:coauthVersionLast="45" xr6:coauthVersionMax="45" xr10:uidLastSave="{00000000-0000-0000-0000-000000000000}"/>
  <bookViews>
    <workbookView xWindow="-120" yWindow="-120" windowWidth="20730" windowHeight="11160" xr2:uid="{FBE8AFAE-B4EE-4287-8576-6E9D9F622826}"/>
  </bookViews>
  <sheets>
    <sheet name="Início" sheetId="6" r:id="rId1"/>
    <sheet name="Figuras" sheetId="1" r:id="rId2"/>
    <sheet name="Tabela" sheetId="2" r:id="rId3"/>
    <sheet name="Lista de Produtos" sheetId="3" r:id="rId4"/>
    <sheet name="Filtro" sheetId="4" r:id="rId5"/>
    <sheet name="Estoque" sheetId="5" r:id="rId6"/>
  </sheets>
  <functionGroups builtInGroupCount="19"/>
  <definedNames>
    <definedName name="_xlnm._FilterDatabase" localSheetId="3" hidden="1">'Lista de Produtos'!$A$1:$I$11</definedName>
    <definedName name="_xlnm.Extract" localSheetId="4">Filtro!$A$4:$I$4</definedName>
    <definedName name="_xlnm.Extract" localSheetId="3">'Lista de Produtos'!$J$8:$Q$8</definedName>
    <definedName name="_xlnm.Criteria" localSheetId="4">Filtro!$A$1:$I$2</definedName>
    <definedName name="_xlnm.Criteria" localSheetId="3">'Lista de Produtos'!#REF!</definedName>
    <definedName name="ID">'Lista de Produtos'!$L$1</definedName>
    <definedName name="IMAGEM">'Lista de Produtos'!$N$1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C2" i="1"/>
</calcChain>
</file>

<file path=xl/sharedStrings.xml><?xml version="1.0" encoding="utf-8"?>
<sst xmlns="http://schemas.openxmlformats.org/spreadsheetml/2006/main" count="110" uniqueCount="46">
  <si>
    <t>Label</t>
  </si>
  <si>
    <t>Height (Altura)</t>
  </si>
  <si>
    <t>Width (Largura)</t>
  </si>
  <si>
    <t>Imagem</t>
  </si>
  <si>
    <t>Categoria</t>
  </si>
  <si>
    <t>Alimento</t>
  </si>
  <si>
    <t>Bebida</t>
  </si>
  <si>
    <t>Produto de Limpeza</t>
  </si>
  <si>
    <t>Produto Higiene</t>
  </si>
  <si>
    <t>Cerveja</t>
  </si>
  <si>
    <t>Doces</t>
  </si>
  <si>
    <t>Marca</t>
  </si>
  <si>
    <t>Coca Cola</t>
  </si>
  <si>
    <t>Pepsi</t>
  </si>
  <si>
    <t>Buriti</t>
  </si>
  <si>
    <t>Uniao</t>
  </si>
  <si>
    <t>Marca 2</t>
  </si>
  <si>
    <t>Marca 3</t>
  </si>
  <si>
    <t>OMO</t>
  </si>
  <si>
    <t>ID</t>
  </si>
  <si>
    <t>Nome</t>
  </si>
  <si>
    <t>Est. Mín</t>
  </si>
  <si>
    <t>Qtd</t>
  </si>
  <si>
    <t>Est. Baixo</t>
  </si>
  <si>
    <t>Data</t>
  </si>
  <si>
    <t>Detergente</t>
  </si>
  <si>
    <t>Açucar</t>
  </si>
  <si>
    <t>Café</t>
  </si>
  <si>
    <t>Pilão</t>
  </si>
  <si>
    <t>Cerveja Brahma</t>
  </si>
  <si>
    <t>Brahma</t>
  </si>
  <si>
    <t>Arroz</t>
  </si>
  <si>
    <t>Danone</t>
  </si>
  <si>
    <t>Iogurte</t>
  </si>
  <si>
    <t>Coca Cola 2L</t>
  </si>
  <si>
    <t>Carne Moída</t>
  </si>
  <si>
    <t>Carne</t>
  </si>
  <si>
    <t>Bolacha Passa Tempo</t>
  </si>
  <si>
    <t>Passa Tempo</t>
  </si>
  <si>
    <t>Entrada</t>
  </si>
  <si>
    <t>Saída</t>
  </si>
  <si>
    <t>Hora</t>
  </si>
  <si>
    <t>SIM</t>
  </si>
  <si>
    <t>NÃO</t>
  </si>
  <si>
    <t>Leite</t>
  </si>
  <si>
    <t>C:\Users\Israel\Desktop\SEMANA VBA DO ZERO\Imagens\ACUCAR_UNIAO_1_KG.bmp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</si>
</sst>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5</xdr:row>
      <xdr:rowOff>85725</xdr:rowOff>
    </xdr:from>
    <xdr:to>
      <xdr:col>10</xdr:col>
      <xdr:colOff>590550</xdr:colOff>
      <xdr:row>9</xdr:row>
      <xdr:rowOff>19050</xdr:rowOff>
    </xdr:to>
    <xdr:sp macro="[0]!Most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45849D6-2784-4454-9F40-2D3CC61931BA}"/>
            </a:ext>
          </a:extLst>
        </xdr:cNvPr>
        <xdr:cNvSpPr/>
      </xdr:nvSpPr>
      <xdr:spPr>
        <a:xfrm>
          <a:off x="3914775" y="1038225"/>
          <a:ext cx="2771775" cy="695325"/>
        </a:xfrm>
        <a:prstGeom prst="roundRect">
          <a:avLst>
            <a:gd name="adj" fmla="val 50000"/>
          </a:avLst>
        </a:prstGeom>
        <a:solidFill>
          <a:srgbClr val="006464"/>
        </a:solidFill>
        <a:effectLst>
          <a:innerShdw blurRad="63500" dist="508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CONTROLE</a:t>
          </a:r>
          <a:r>
            <a:rPr lang="pt-BR" sz="1800" baseline="0"/>
            <a:t> DE ESTOQUE</a:t>
          </a:r>
          <a:endParaRPr lang="pt-BR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476251</xdr:colOff>
      <xdr:row>1</xdr:row>
      <xdr:rowOff>95250</xdr:rowOff>
    </xdr:from>
    <xdr:to>
      <xdr:col>5</xdr:col>
      <xdr:colOff>89076</xdr:colOff>
      <xdr:row>2</xdr:row>
      <xdr:rowOff>113550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3C2CD46-4D4A-4F77-9B33-611B002EAC3B}"/>
            </a:ext>
          </a:extLst>
        </xdr:cNvPr>
        <xdr:cNvSpPr/>
      </xdr:nvSpPr>
      <xdr:spPr>
        <a:xfrm>
          <a:off x="2905126" y="285750"/>
          <a:ext cx="835200" cy="2088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w Cen MT" panose="020B0602020104020603" pitchFamily="34" charset="0"/>
            </a:rPr>
            <a:t>Cancelar</a:t>
          </a:r>
        </a:p>
      </xdr:txBody>
    </xdr:sp>
    <xdr:clientData/>
  </xdr:twoCellAnchor>
  <xdr:twoCellAnchor>
    <xdr:from>
      <xdr:col>4</xdr:col>
      <xdr:colOff>103188</xdr:colOff>
      <xdr:row>4</xdr:row>
      <xdr:rowOff>55562</xdr:rowOff>
    </xdr:from>
    <xdr:to>
      <xdr:col>6</xdr:col>
      <xdr:colOff>446813</xdr:colOff>
      <xdr:row>5</xdr:row>
      <xdr:rowOff>160262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7758B0D-7102-4E80-A4B5-3FD45C8E2C21}"/>
            </a:ext>
          </a:extLst>
        </xdr:cNvPr>
        <xdr:cNvSpPr/>
      </xdr:nvSpPr>
      <xdr:spPr>
        <a:xfrm>
          <a:off x="3143251" y="817562"/>
          <a:ext cx="1566000" cy="2952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latin typeface="Tw Cen MT" panose="020B0602020104020603" pitchFamily="34" charset="0"/>
            </a:rPr>
            <a:t>Cancelar</a:t>
          </a:r>
        </a:p>
      </xdr:txBody>
    </xdr:sp>
    <xdr:clientData/>
  </xdr:twoCellAnchor>
  <xdr:twoCellAnchor>
    <xdr:from>
      <xdr:col>7</xdr:col>
      <xdr:colOff>134938</xdr:colOff>
      <xdr:row>1</xdr:row>
      <xdr:rowOff>174626</xdr:rowOff>
    </xdr:from>
    <xdr:to>
      <xdr:col>8</xdr:col>
      <xdr:colOff>45750</xdr:colOff>
      <xdr:row>3</xdr:row>
      <xdr:rowOff>2426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72E1290-64E5-4ADC-A876-5A096E6D538B}"/>
            </a:ext>
          </a:extLst>
        </xdr:cNvPr>
        <xdr:cNvSpPr/>
      </xdr:nvSpPr>
      <xdr:spPr>
        <a:xfrm>
          <a:off x="5008563" y="365126"/>
          <a:ext cx="522000" cy="2088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200">
            <a:latin typeface="Tw Cen MT" panose="020B0602020104020603" pitchFamily="34" charset="0"/>
          </a:endParaRPr>
        </a:p>
      </xdr:txBody>
    </xdr:sp>
    <xdr:clientData/>
  </xdr:twoCellAnchor>
  <xdr:twoCellAnchor>
    <xdr:from>
      <xdr:col>7</xdr:col>
      <xdr:colOff>254001</xdr:colOff>
      <xdr:row>2</xdr:row>
      <xdr:rowOff>1</xdr:rowOff>
    </xdr:from>
    <xdr:to>
      <xdr:col>7</xdr:col>
      <xdr:colOff>396876</xdr:colOff>
      <xdr:row>2</xdr:row>
      <xdr:rowOff>142876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475FF28C-EED8-4BE7-AB1B-8A721737DD72}"/>
            </a:ext>
          </a:extLst>
        </xdr:cNvPr>
        <xdr:cNvSpPr/>
      </xdr:nvSpPr>
      <xdr:spPr>
        <a:xfrm>
          <a:off x="5127626" y="381001"/>
          <a:ext cx="142875" cy="142875"/>
        </a:xfrm>
        <a:prstGeom prst="ellipse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396876</xdr:colOff>
      <xdr:row>2</xdr:row>
      <xdr:rowOff>111125</xdr:rowOff>
    </xdr:from>
    <xdr:to>
      <xdr:col>7</xdr:col>
      <xdr:colOff>515938</xdr:colOff>
      <xdr:row>2</xdr:row>
      <xdr:rowOff>166688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C829BE38-38F3-4787-A84D-1B8A7C24077D}"/>
            </a:ext>
          </a:extLst>
        </xdr:cNvPr>
        <xdr:cNvCxnSpPr/>
      </xdr:nvCxnSpPr>
      <xdr:spPr>
        <a:xfrm>
          <a:off x="5270501" y="492125"/>
          <a:ext cx="119062" cy="55563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174626</xdr:colOff>
      <xdr:row>4</xdr:row>
      <xdr:rowOff>150812</xdr:rowOff>
    </xdr:from>
    <xdr:to>
      <xdr:col>9</xdr:col>
      <xdr:colOff>233851</xdr:colOff>
      <xdr:row>6</xdr:row>
      <xdr:rowOff>65012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22CFFE9E-5C0C-4FAD-BBB8-EC1BDC17EAF4}"/>
            </a:ext>
          </a:extLst>
        </xdr:cNvPr>
        <xdr:cNvSpPr/>
      </xdr:nvSpPr>
      <xdr:spPr>
        <a:xfrm>
          <a:off x="5048251" y="912812"/>
          <a:ext cx="1281600" cy="295200"/>
        </a:xfrm>
        <a:prstGeom prst="roundRect">
          <a:avLst>
            <a:gd name="adj" fmla="val 25800"/>
          </a:avLst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>
              <a:solidFill>
                <a:sysClr val="windowText" lastClr="000000"/>
              </a:solidFill>
              <a:latin typeface="Tw Cen MT" panose="020B0602020104020603" pitchFamily="34" charset="0"/>
            </a:rPr>
            <a:t>Código</a:t>
          </a:r>
        </a:p>
      </xdr:txBody>
    </xdr:sp>
    <xdr:clientData/>
  </xdr:twoCellAnchor>
  <xdr:twoCellAnchor>
    <xdr:from>
      <xdr:col>3</xdr:col>
      <xdr:colOff>595313</xdr:colOff>
      <xdr:row>7</xdr:row>
      <xdr:rowOff>47624</xdr:rowOff>
    </xdr:from>
    <xdr:to>
      <xdr:col>5</xdr:col>
      <xdr:colOff>294538</xdr:colOff>
      <xdr:row>9</xdr:row>
      <xdr:rowOff>84224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4830C437-941B-41CA-A874-39F992482842}"/>
            </a:ext>
          </a:extLst>
        </xdr:cNvPr>
        <xdr:cNvSpPr/>
      </xdr:nvSpPr>
      <xdr:spPr>
        <a:xfrm>
          <a:off x="3024188" y="1381124"/>
          <a:ext cx="921600" cy="417600"/>
        </a:xfrm>
        <a:prstGeom prst="roundRect">
          <a:avLst>
            <a:gd name="adj" fmla="val 19588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w Cen MT" panose="020B0602020104020603" pitchFamily="34" charset="0"/>
            </a:rPr>
            <a:t>ESTOQUE</a:t>
          </a:r>
        </a:p>
      </xdr:txBody>
    </xdr:sp>
    <xdr:clientData/>
  </xdr:twoCellAnchor>
  <xdr:twoCellAnchor>
    <xdr:from>
      <xdr:col>5</xdr:col>
      <xdr:colOff>587375</xdr:colOff>
      <xdr:row>7</xdr:row>
      <xdr:rowOff>95249</xdr:rowOff>
    </xdr:from>
    <xdr:to>
      <xdr:col>7</xdr:col>
      <xdr:colOff>279400</xdr:colOff>
      <xdr:row>8</xdr:row>
      <xdr:rowOff>156749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A9471563-ECB6-45F5-B11E-989A3399C81B}"/>
            </a:ext>
          </a:extLst>
        </xdr:cNvPr>
        <xdr:cNvSpPr/>
      </xdr:nvSpPr>
      <xdr:spPr>
        <a:xfrm>
          <a:off x="4238625" y="1428749"/>
          <a:ext cx="914400" cy="252000"/>
        </a:xfrm>
        <a:prstGeom prst="roundRect">
          <a:avLst>
            <a:gd name="adj" fmla="val 50000"/>
          </a:avLst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>
              <a:latin typeface="Tw Cen MT" panose="020B0602020104020603" pitchFamily="34" charset="0"/>
            </a:rPr>
            <a:t>Saída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63628-E2B6-487C-AC59-01676878D63C}">
  <sheetPr codeName="Planilha3"/>
  <dimension ref="A1"/>
  <sheetViews>
    <sheetView showGridLines="0" tabSelected="1" zoomScale="120" zoomScaleNormal="120" workbookViewId="0">
      <selection activeCell="I3" sqref="I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E056-0C57-49FE-AD25-F3224C013280}">
  <sheetPr codeName="Planilha1"/>
  <dimension ref="A1:C3"/>
  <sheetViews>
    <sheetView zoomScale="120" zoomScaleNormal="120" workbookViewId="0">
      <selection activeCell="A12" sqref="A12"/>
    </sheetView>
  </sheetViews>
  <sheetFormatPr defaultRowHeight="15" x14ac:dyDescent="0.25"/>
  <cols>
    <col min="1" max="1" width="18.140625" customWidth="1"/>
  </cols>
  <sheetData>
    <row r="1" spans="1:3" x14ac:dyDescent="0.25">
      <c r="B1" s="1" t="s">
        <v>0</v>
      </c>
      <c r="C1" s="1" t="s">
        <v>3</v>
      </c>
    </row>
    <row r="2" spans="1:3" x14ac:dyDescent="0.25">
      <c r="A2" t="s">
        <v>1</v>
      </c>
      <c r="B2" s="1">
        <v>18</v>
      </c>
      <c r="C2">
        <f>B2/31</f>
        <v>0.58064516129032262</v>
      </c>
    </row>
    <row r="3" spans="1:3" x14ac:dyDescent="0.25">
      <c r="A3" t="s">
        <v>2</v>
      </c>
      <c r="B3" s="1">
        <v>72</v>
      </c>
      <c r="C3">
        <f>B3/31</f>
        <v>2.3225806451612905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E6E7C-C171-4900-95C8-97171858EBAB}">
  <sheetPr codeName="W_Tabela"/>
  <dimension ref="A1:C8"/>
  <sheetViews>
    <sheetView zoomScale="120" zoomScaleNormal="120" workbookViewId="0">
      <selection activeCell="A9" sqref="A9"/>
    </sheetView>
  </sheetViews>
  <sheetFormatPr defaultRowHeight="15" x14ac:dyDescent="0.25"/>
  <cols>
    <col min="1" max="1" width="19.140625" customWidth="1"/>
    <col min="3" max="3" width="11.42578125" customWidth="1"/>
  </cols>
  <sheetData>
    <row r="1" spans="1:3" x14ac:dyDescent="0.25">
      <c r="A1" t="s">
        <v>4</v>
      </c>
      <c r="C1" t="s">
        <v>11</v>
      </c>
    </row>
    <row r="2" spans="1:3" x14ac:dyDescent="0.25">
      <c r="A2" t="s">
        <v>5</v>
      </c>
      <c r="C2" t="s">
        <v>12</v>
      </c>
    </row>
    <row r="3" spans="1:3" x14ac:dyDescent="0.25">
      <c r="A3" t="s">
        <v>6</v>
      </c>
      <c r="C3" t="s">
        <v>13</v>
      </c>
    </row>
    <row r="4" spans="1:3" x14ac:dyDescent="0.25">
      <c r="A4" t="s">
        <v>7</v>
      </c>
      <c r="C4" t="s">
        <v>14</v>
      </c>
    </row>
    <row r="5" spans="1:3" x14ac:dyDescent="0.25">
      <c r="A5" t="s">
        <v>8</v>
      </c>
      <c r="C5" t="s">
        <v>15</v>
      </c>
    </row>
    <row r="6" spans="1:3" x14ac:dyDescent="0.25">
      <c r="A6" t="s">
        <v>9</v>
      </c>
      <c r="C6" t="s">
        <v>16</v>
      </c>
    </row>
    <row r="7" spans="1:3" x14ac:dyDescent="0.25">
      <c r="A7" t="s">
        <v>10</v>
      </c>
      <c r="C7" t="s">
        <v>17</v>
      </c>
    </row>
    <row r="8" spans="1:3" x14ac:dyDescent="0.25">
      <c r="A8" t="s">
        <v>33</v>
      </c>
      <c r="C8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6FCF-E65E-4DD5-98A4-3373EB897A01}">
  <sheetPr codeName="w_cadastro"/>
  <dimension ref="A1:N11"/>
  <sheetViews>
    <sheetView zoomScale="120" zoomScaleNormal="120" workbookViewId="0">
      <selection activeCell="I14" sqref="I14"/>
    </sheetView>
  </sheetViews>
  <sheetFormatPr defaultRowHeight="15" x14ac:dyDescent="0.25"/>
  <cols>
    <col min="8" max="8" width="11.28515625" bestFit="1" customWidth="1"/>
  </cols>
  <sheetData>
    <row r="1" spans="1:14" x14ac:dyDescent="0.25">
      <c r="A1" t="s">
        <v>19</v>
      </c>
      <c r="B1" t="s">
        <v>20</v>
      </c>
      <c r="C1" t="s">
        <v>4</v>
      </c>
      <c r="D1" t="s">
        <v>11</v>
      </c>
      <c r="E1" s="1" t="s">
        <v>21</v>
      </c>
      <c r="F1" s="1" t="s">
        <v>22</v>
      </c>
      <c r="G1" s="1" t="s">
        <v>23</v>
      </c>
      <c r="H1" s="1" t="s">
        <v>24</v>
      </c>
      <c r="I1" s="2" t="s">
        <v>3</v>
      </c>
      <c r="L1" s="4">
        <v>13</v>
      </c>
      <c r="N1" s="3" t="s">
        <v>45</v>
      </c>
    </row>
    <row r="2" spans="1:14" x14ac:dyDescent="0.25">
      <c r="A2">
        <v>1</v>
      </c>
      <c r="B2" t="s">
        <v>25</v>
      </c>
      <c r="C2" t="s">
        <v>7</v>
      </c>
      <c r="D2" t="s">
        <v>16</v>
      </c>
      <c r="E2">
        <v>500</v>
      </c>
      <c r="H2" s="5">
        <v>44106</v>
      </c>
    </row>
    <row r="3" spans="1:14" x14ac:dyDescent="0.25">
      <c r="A3">
        <v>2</v>
      </c>
      <c r="B3" t="s">
        <v>26</v>
      </c>
      <c r="C3" t="s">
        <v>5</v>
      </c>
      <c r="D3" t="s">
        <v>17</v>
      </c>
      <c r="E3">
        <v>50</v>
      </c>
      <c r="H3" s="5">
        <v>44106</v>
      </c>
    </row>
    <row r="4" spans="1:14" x14ac:dyDescent="0.25">
      <c r="A4">
        <v>3</v>
      </c>
      <c r="B4" t="s">
        <v>27</v>
      </c>
      <c r="C4" t="s">
        <v>5</v>
      </c>
      <c r="D4" t="s">
        <v>28</v>
      </c>
      <c r="E4">
        <v>600</v>
      </c>
      <c r="H4" s="5">
        <v>44106</v>
      </c>
    </row>
    <row r="5" spans="1:14" x14ac:dyDescent="0.25">
      <c r="A5">
        <v>6</v>
      </c>
      <c r="B5" t="s">
        <v>29</v>
      </c>
      <c r="C5" t="s">
        <v>9</v>
      </c>
      <c r="D5" t="s">
        <v>30</v>
      </c>
      <c r="E5">
        <v>500</v>
      </c>
      <c r="H5" s="5">
        <v>44107</v>
      </c>
    </row>
    <row r="6" spans="1:14" x14ac:dyDescent="0.25">
      <c r="A6">
        <v>7</v>
      </c>
      <c r="B6" t="s">
        <v>31</v>
      </c>
      <c r="C6" t="s">
        <v>5</v>
      </c>
      <c r="D6" t="s">
        <v>15</v>
      </c>
      <c r="E6">
        <v>600</v>
      </c>
      <c r="F6">
        <v>200</v>
      </c>
      <c r="G6" t="s">
        <v>42</v>
      </c>
      <c r="H6" s="5">
        <v>44107</v>
      </c>
    </row>
    <row r="7" spans="1:14" x14ac:dyDescent="0.25">
      <c r="A7">
        <v>8</v>
      </c>
      <c r="B7" t="s">
        <v>32</v>
      </c>
      <c r="C7" t="s">
        <v>6</v>
      </c>
      <c r="D7" t="s">
        <v>32</v>
      </c>
      <c r="E7">
        <v>600</v>
      </c>
      <c r="F7">
        <v>200</v>
      </c>
      <c r="G7" t="s">
        <v>42</v>
      </c>
      <c r="H7" s="5">
        <v>44107</v>
      </c>
    </row>
    <row r="8" spans="1:14" x14ac:dyDescent="0.25">
      <c r="A8">
        <v>9</v>
      </c>
      <c r="B8" t="s">
        <v>34</v>
      </c>
      <c r="C8" t="s">
        <v>6</v>
      </c>
      <c r="D8" t="s">
        <v>12</v>
      </c>
      <c r="E8">
        <v>500</v>
      </c>
      <c r="H8" s="5">
        <v>44107</v>
      </c>
    </row>
    <row r="9" spans="1:14" x14ac:dyDescent="0.25">
      <c r="A9">
        <v>10</v>
      </c>
      <c r="B9" t="s">
        <v>35</v>
      </c>
      <c r="C9" t="s">
        <v>36</v>
      </c>
      <c r="E9">
        <v>100</v>
      </c>
      <c r="F9">
        <v>300</v>
      </c>
      <c r="G9" t="s">
        <v>43</v>
      </c>
      <c r="H9" s="5">
        <v>44107</v>
      </c>
    </row>
    <row r="10" spans="1:14" x14ac:dyDescent="0.25">
      <c r="A10">
        <v>11</v>
      </c>
      <c r="B10" t="s">
        <v>37</v>
      </c>
      <c r="C10" t="s">
        <v>5</v>
      </c>
      <c r="D10" t="s">
        <v>38</v>
      </c>
      <c r="E10">
        <v>600</v>
      </c>
      <c r="H10" s="5">
        <v>44108</v>
      </c>
    </row>
    <row r="11" spans="1:14" x14ac:dyDescent="0.25">
      <c r="A11">
        <v>12</v>
      </c>
      <c r="B11" t="s">
        <v>44</v>
      </c>
      <c r="C11" t="s">
        <v>6</v>
      </c>
      <c r="D11" t="s">
        <v>44</v>
      </c>
      <c r="E11">
        <v>500</v>
      </c>
      <c r="F11">
        <v>500</v>
      </c>
      <c r="G11" t="s">
        <v>43</v>
      </c>
      <c r="H11" s="5">
        <v>44108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85376-068D-4BB1-9BBA-786FDE00BC2E}">
  <sheetPr codeName="w_filtro"/>
  <dimension ref="A1:I16"/>
  <sheetViews>
    <sheetView workbookViewId="0">
      <selection activeCell="H23" sqref="H23"/>
    </sheetView>
  </sheetViews>
  <sheetFormatPr defaultRowHeight="15" x14ac:dyDescent="0.25"/>
  <cols>
    <col min="7" max="7" width="9.28515625" customWidth="1"/>
  </cols>
  <sheetData>
    <row r="1" spans="1:9" x14ac:dyDescent="0.25">
      <c r="A1" t="s">
        <v>19</v>
      </c>
      <c r="B1" t="s">
        <v>20</v>
      </c>
      <c r="C1" t="s">
        <v>4</v>
      </c>
      <c r="D1" t="s">
        <v>11</v>
      </c>
      <c r="E1" s="1" t="s">
        <v>21</v>
      </c>
      <c r="F1" s="1" t="s">
        <v>22</v>
      </c>
      <c r="G1" s="1" t="s">
        <v>23</v>
      </c>
      <c r="H1" s="1" t="s">
        <v>24</v>
      </c>
      <c r="I1" s="2" t="s">
        <v>3</v>
      </c>
    </row>
    <row r="2" spans="1:9" x14ac:dyDescent="0.25">
      <c r="C2" t="s">
        <v>5</v>
      </c>
    </row>
    <row r="4" spans="1:9" x14ac:dyDescent="0.25">
      <c r="A4" t="s">
        <v>19</v>
      </c>
      <c r="B4" t="s">
        <v>20</v>
      </c>
      <c r="C4" t="s">
        <v>4</v>
      </c>
      <c r="D4" t="s">
        <v>11</v>
      </c>
      <c r="E4" s="1" t="s">
        <v>21</v>
      </c>
      <c r="F4" s="1" t="s">
        <v>22</v>
      </c>
      <c r="G4" s="1" t="s">
        <v>23</v>
      </c>
      <c r="H4" s="1" t="s">
        <v>24</v>
      </c>
      <c r="I4" s="2" t="s">
        <v>3</v>
      </c>
    </row>
    <row r="5" spans="1:9" x14ac:dyDescent="0.25">
      <c r="A5">
        <v>2</v>
      </c>
      <c r="B5" t="s">
        <v>26</v>
      </c>
      <c r="C5" t="s">
        <v>5</v>
      </c>
      <c r="D5" t="s">
        <v>17</v>
      </c>
      <c r="E5">
        <v>50</v>
      </c>
      <c r="H5" s="5">
        <v>44106</v>
      </c>
    </row>
    <row r="6" spans="1:9" x14ac:dyDescent="0.25">
      <c r="A6">
        <v>3</v>
      </c>
      <c r="B6" t="s">
        <v>27</v>
      </c>
      <c r="C6" t="s">
        <v>5</v>
      </c>
      <c r="D6" t="s">
        <v>28</v>
      </c>
      <c r="E6">
        <v>600</v>
      </c>
      <c r="H6" s="5">
        <v>44106</v>
      </c>
    </row>
    <row r="7" spans="1:9" x14ac:dyDescent="0.25">
      <c r="A7">
        <v>7</v>
      </c>
      <c r="B7" t="s">
        <v>31</v>
      </c>
      <c r="C7" t="s">
        <v>5</v>
      </c>
      <c r="D7" t="s">
        <v>15</v>
      </c>
      <c r="E7">
        <v>600</v>
      </c>
      <c r="F7">
        <v>200</v>
      </c>
      <c r="G7" t="s">
        <v>42</v>
      </c>
      <c r="H7" s="5">
        <v>44107</v>
      </c>
    </row>
    <row r="8" spans="1:9" x14ac:dyDescent="0.25">
      <c r="A8">
        <v>11</v>
      </c>
      <c r="B8" t="s">
        <v>37</v>
      </c>
      <c r="C8" t="s">
        <v>5</v>
      </c>
      <c r="D8" t="s">
        <v>38</v>
      </c>
      <c r="E8">
        <v>600</v>
      </c>
      <c r="H8" s="5">
        <v>44108</v>
      </c>
    </row>
    <row r="9" spans="1:9" x14ac:dyDescent="0.25">
      <c r="H9" s="5"/>
    </row>
    <row r="10" spans="1:9" x14ac:dyDescent="0.25">
      <c r="H10" s="5"/>
    </row>
    <row r="11" spans="1:9" x14ac:dyDescent="0.25">
      <c r="H11" s="5"/>
    </row>
    <row r="12" spans="1:9" x14ac:dyDescent="0.25">
      <c r="H12" s="5"/>
    </row>
    <row r="13" spans="1:9" x14ac:dyDescent="0.25">
      <c r="H13" s="5"/>
    </row>
    <row r="14" spans="1:9" x14ac:dyDescent="0.25">
      <c r="H14" s="5"/>
    </row>
    <row r="15" spans="1:9" x14ac:dyDescent="0.25">
      <c r="H15" s="5"/>
    </row>
    <row r="16" spans="1:9" x14ac:dyDescent="0.25">
      <c r="H16" s="5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7BB3-DA71-414E-8E53-22CB902BC191}">
  <sheetPr codeName="w_Estoque"/>
  <dimension ref="A1:F10"/>
  <sheetViews>
    <sheetView workbookViewId="0">
      <selection activeCell="A2" sqref="A2"/>
    </sheetView>
  </sheetViews>
  <sheetFormatPr defaultRowHeight="15" x14ac:dyDescent="0.25"/>
  <cols>
    <col min="1" max="2" width="10.5703125" customWidth="1"/>
    <col min="5" max="5" width="10.7109375" bestFit="1" customWidth="1"/>
    <col min="6" max="6" width="10.5703125" bestFit="1" customWidth="1"/>
  </cols>
  <sheetData>
    <row r="1" spans="1:6" x14ac:dyDescent="0.25">
      <c r="A1" s="6" t="s">
        <v>19</v>
      </c>
      <c r="B1" s="6" t="s">
        <v>20</v>
      </c>
      <c r="C1" t="s">
        <v>39</v>
      </c>
      <c r="D1" t="s">
        <v>40</v>
      </c>
      <c r="E1" t="s">
        <v>24</v>
      </c>
      <c r="F1" t="s">
        <v>41</v>
      </c>
    </row>
    <row r="2" spans="1:6" x14ac:dyDescent="0.25">
      <c r="A2" s="6">
        <v>7</v>
      </c>
      <c r="B2" s="6" t="s">
        <v>31</v>
      </c>
      <c r="C2">
        <v>100</v>
      </c>
      <c r="E2" s="5">
        <v>44108</v>
      </c>
      <c r="F2" s="8">
        <v>0.22556712962962963</v>
      </c>
    </row>
    <row r="3" spans="1:6" x14ac:dyDescent="0.25">
      <c r="A3" s="6">
        <v>7</v>
      </c>
      <c r="B3" s="6" t="s">
        <v>31</v>
      </c>
      <c r="D3">
        <v>10</v>
      </c>
      <c r="E3" s="5">
        <v>44108</v>
      </c>
      <c r="F3" s="8">
        <v>0.22565972222222222</v>
      </c>
    </row>
    <row r="4" spans="1:6" x14ac:dyDescent="0.25">
      <c r="A4" s="6">
        <v>8</v>
      </c>
      <c r="B4" s="6" t="s">
        <v>32</v>
      </c>
      <c r="C4">
        <v>100</v>
      </c>
      <c r="E4" s="5">
        <v>44108</v>
      </c>
      <c r="F4" s="8">
        <v>0.22923611111111111</v>
      </c>
    </row>
    <row r="5" spans="1:6" x14ac:dyDescent="0.25">
      <c r="A5" s="6">
        <v>8</v>
      </c>
      <c r="B5" s="6" t="s">
        <v>32</v>
      </c>
      <c r="C5">
        <v>100</v>
      </c>
      <c r="E5" s="5">
        <v>44108</v>
      </c>
      <c r="F5" s="8">
        <v>0.22939814814814816</v>
      </c>
    </row>
    <row r="6" spans="1:6" x14ac:dyDescent="0.25">
      <c r="A6" s="6">
        <v>10</v>
      </c>
      <c r="B6" s="6" t="s">
        <v>35</v>
      </c>
      <c r="C6">
        <v>100</v>
      </c>
      <c r="E6" s="5">
        <v>44108</v>
      </c>
      <c r="F6" s="8">
        <v>0.2308564814814815</v>
      </c>
    </row>
    <row r="7" spans="1:6" x14ac:dyDescent="0.25">
      <c r="A7" s="6">
        <v>10</v>
      </c>
      <c r="B7" s="6" t="s">
        <v>35</v>
      </c>
      <c r="C7">
        <v>200</v>
      </c>
      <c r="E7" s="5">
        <v>44108</v>
      </c>
      <c r="F7" s="8">
        <v>0.23094907407407406</v>
      </c>
    </row>
    <row r="8" spans="1:6" x14ac:dyDescent="0.25">
      <c r="A8" s="6">
        <v>7</v>
      </c>
      <c r="B8" s="7" t="s">
        <v>31</v>
      </c>
      <c r="C8">
        <v>10</v>
      </c>
      <c r="E8" s="5">
        <v>44108</v>
      </c>
      <c r="F8" s="8">
        <v>0.23124999999999998</v>
      </c>
    </row>
    <row r="9" spans="1:6" x14ac:dyDescent="0.25">
      <c r="A9">
        <v>12</v>
      </c>
      <c r="B9" t="s">
        <v>44</v>
      </c>
      <c r="C9">
        <v>500</v>
      </c>
      <c r="E9" s="5">
        <v>44108</v>
      </c>
      <c r="F9" s="8">
        <v>0.24287037037037038</v>
      </c>
    </row>
    <row r="10" spans="1:6" x14ac:dyDescent="0.25">
      <c r="A10">
        <v>7</v>
      </c>
      <c r="B10" t="s">
        <v>31</v>
      </c>
      <c r="C10">
        <v>100</v>
      </c>
      <c r="E10" s="5">
        <v>44109</v>
      </c>
      <c r="F10" s="8">
        <v>0.1029050925925926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Início</vt:lpstr>
      <vt:lpstr>Figuras</vt:lpstr>
      <vt:lpstr>Tabela</vt:lpstr>
      <vt:lpstr>Lista de Produtos</vt:lpstr>
      <vt:lpstr>Filtro</vt:lpstr>
      <vt:lpstr>Estoque</vt:lpstr>
      <vt:lpstr>Filtro!Area_de_extracao</vt:lpstr>
      <vt:lpstr>'Lista de Produtos'!Area_de_extracao</vt:lpstr>
      <vt:lpstr>Filtro!Criterios</vt:lpstr>
      <vt:lpstr>ID</vt:lpstr>
      <vt:lpstr>IMAGEM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Lucas Lopes Marinho</cp:lastModifiedBy>
  <dcterms:created xsi:type="dcterms:W3CDTF">2020-10-02T05:25:34Z</dcterms:created>
  <dcterms:modified xsi:type="dcterms:W3CDTF">2020-10-10T20:03:14Z</dcterms:modified>
</cp:coreProperties>
</file>